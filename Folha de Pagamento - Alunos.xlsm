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\\NOTEBOOK\excel-2021-01\"/>
    </mc:Choice>
  </mc:AlternateContent>
  <xr:revisionPtr revIDLastSave="0" documentId="13_ncr:1_{C0C41CD4-70A7-46B5-B0BE-43FC58F2B026}" xr6:coauthVersionLast="47" xr6:coauthVersionMax="47" xr10:uidLastSave="{00000000-0000-0000-0000-000000000000}"/>
  <bookViews>
    <workbookView xWindow="20370" yWindow="-120" windowWidth="15600" windowHeight="11160" xr2:uid="{00000000-000D-0000-FFFF-FFFF00000000}"/>
  </bookViews>
  <sheets>
    <sheet name="Folha de Pagamento" sheetId="1" r:id="rId1"/>
    <sheet name="Funcionários" sheetId="9" r:id="rId2"/>
    <sheet name="Cargos" sheetId="2" r:id="rId3"/>
    <sheet name="INSS" sheetId="3" r:id="rId4"/>
    <sheet name="IRRF" sheetId="4" r:id="rId5"/>
  </sheets>
  <definedNames>
    <definedName name="INSSs">'Folha de Pagamento'!$F$6:$F$21</definedName>
    <definedName name="SalariosBrutos">'Folha de Pagamento'!$E$6:$E$21</definedName>
    <definedName name="SalariosLiquidos">'Folha de Pagamento'!$K$6:$K$21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7" i="1" l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6" i="1"/>
  <c r="H25" i="1" l="1"/>
  <c r="H22" i="1"/>
  <c r="H24" i="1"/>
  <c r="H23" i="1"/>
  <c r="E22" i="1" l="1"/>
  <c r="E25" i="1"/>
  <c r="E23" i="1"/>
  <c r="E24" i="1"/>
  <c r="I24" i="1" l="1"/>
  <c r="F22" i="1"/>
  <c r="I23" i="1"/>
  <c r="I25" i="1"/>
  <c r="I22" i="1"/>
  <c r="F25" i="1"/>
  <c r="F24" i="1"/>
  <c r="F23" i="1"/>
  <c r="K22" i="1" l="1"/>
  <c r="J24" i="1"/>
  <c r="J23" i="1"/>
  <c r="J25" i="1"/>
  <c r="J22" i="1"/>
  <c r="K25" i="1"/>
  <c r="K23" i="1"/>
  <c r="K24" i="1"/>
</calcChain>
</file>

<file path=xl/sharedStrings.xml><?xml version="1.0" encoding="utf-8"?>
<sst xmlns="http://schemas.openxmlformats.org/spreadsheetml/2006/main" count="85" uniqueCount="67">
  <si>
    <t>Salário mínimo</t>
  </si>
  <si>
    <t>Funcionário</t>
  </si>
  <si>
    <t>Cargo</t>
  </si>
  <si>
    <t xml:space="preserve">Nr. Sal. </t>
  </si>
  <si>
    <t xml:space="preserve">Sal. Bruto </t>
  </si>
  <si>
    <t>INSS</t>
  </si>
  <si>
    <t>Dep.</t>
  </si>
  <si>
    <t xml:space="preserve">Sal. Fam. </t>
  </si>
  <si>
    <t xml:space="preserve">IRRF </t>
  </si>
  <si>
    <t xml:space="preserve">Tot. Desc. </t>
  </si>
  <si>
    <t xml:space="preserve">Sal. Líq. </t>
  </si>
  <si>
    <t>Menor Salário Pago</t>
  </si>
  <si>
    <t xml:space="preserve">Maior Salário Pago </t>
  </si>
  <si>
    <t>Média de Salários Pagos</t>
  </si>
  <si>
    <t>Código</t>
  </si>
  <si>
    <t>Análista de Salários</t>
  </si>
  <si>
    <t>Auxiliar de Contabilidade</t>
  </si>
  <si>
    <t>Chefe de Cobrança</t>
  </si>
  <si>
    <t>Chefe de Expedição</t>
  </si>
  <si>
    <t>Contador</t>
  </si>
  <si>
    <t>Diretor de Divisão</t>
  </si>
  <si>
    <t>Salários</t>
  </si>
  <si>
    <t>De</t>
  </si>
  <si>
    <t>Até</t>
  </si>
  <si>
    <t>Aliquota</t>
  </si>
  <si>
    <t>em diante</t>
  </si>
  <si>
    <t>Total de Salários Pagos</t>
  </si>
  <si>
    <t>IRRF</t>
  </si>
  <si>
    <t>Cargos</t>
  </si>
  <si>
    <t>Cód.Cargo</t>
  </si>
  <si>
    <t>Mês:</t>
  </si>
  <si>
    <t>Almeida</t>
  </si>
  <si>
    <t>Silva</t>
  </si>
  <si>
    <t>Jesus</t>
  </si>
  <si>
    <t>Simões</t>
  </si>
  <si>
    <t>Souza</t>
  </si>
  <si>
    <t>Malaquias</t>
  </si>
  <si>
    <t>Nome</t>
  </si>
  <si>
    <t>Sobrenome</t>
  </si>
  <si>
    <t>de</t>
  </si>
  <si>
    <t>da</t>
  </si>
  <si>
    <t>Juliana</t>
  </si>
  <si>
    <t>Antonio</t>
  </si>
  <si>
    <t xml:space="preserve">Pedro </t>
  </si>
  <si>
    <t>Empresas Simul &amp; Ação Ltda. - Folha de Pagamento Inteligente</t>
  </si>
  <si>
    <t xml:space="preserve">Mario        Antonio </t>
  </si>
  <si>
    <t>Cezar         Pedro</t>
  </si>
  <si>
    <t>Complemento</t>
  </si>
  <si>
    <t xml:space="preserve">josé carlos </t>
  </si>
  <si>
    <t>vera</t>
  </si>
  <si>
    <t>mario Paulo</t>
  </si>
  <si>
    <t xml:space="preserve">sheila       maria </t>
  </si>
  <si>
    <t>abel</t>
  </si>
  <si>
    <t>antonia</t>
  </si>
  <si>
    <t>josefa</t>
  </si>
  <si>
    <t>sonia</t>
  </si>
  <si>
    <t>wanda          Silva</t>
  </si>
  <si>
    <t>silva</t>
  </si>
  <si>
    <t>almeida</t>
  </si>
  <si>
    <t>jesus</t>
  </si>
  <si>
    <t>garcia</t>
  </si>
  <si>
    <t>juliano</t>
  </si>
  <si>
    <t>abreu</t>
  </si>
  <si>
    <t>marinho</t>
  </si>
  <si>
    <t xml:space="preserve">maria      Lourdes </t>
  </si>
  <si>
    <t>marisa    Abreu</t>
  </si>
  <si>
    <t>Nr. Sal.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</si>
</sst>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4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1" fillId="0" borderId="0" xfId="0" applyNumberFormat="1" applyFont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8"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5:K25" totalsRowShown="0" headerRowDxfId="7">
  <autoFilter ref="A5:K25" xr:uid="{00000000-0009-0000-0100-000002000000}"/>
  <tableColumns count="11">
    <tableColumn id="1" xr3:uid="{00000000-0010-0000-0000-000001000000}" name="Funcionário" dataDxfId="6"/>
    <tableColumn id="2" xr3:uid="{00000000-0010-0000-0000-000002000000}" name="Cód.Cargo"/>
    <tableColumn id="3" xr3:uid="{00000000-0010-0000-0000-000003000000}" name="Cargo"/>
    <tableColumn id="4" xr3:uid="{00000000-0010-0000-0000-000004000000}" name="Nr. Sal. "/>
    <tableColumn id="5" xr3:uid="{00000000-0010-0000-0000-000005000000}" name="Sal. Bruto " dataDxfId="5"/>
    <tableColumn id="6" xr3:uid="{00000000-0010-0000-0000-000006000000}" name="INSS" dataDxfId="4"/>
    <tableColumn id="7" xr3:uid="{00000000-0010-0000-0000-000007000000}" name="Dep."/>
    <tableColumn id="8" xr3:uid="{00000000-0010-0000-0000-000008000000}" name="Sal. Fam. " dataDxfId="3"/>
    <tableColumn id="9" xr3:uid="{00000000-0010-0000-0000-000009000000}" name="IRRF " dataDxfId="2"/>
    <tableColumn id="10" xr3:uid="{00000000-0010-0000-0000-00000A000000}" name="Tot. Desc. " dataDxfId="1"/>
    <tableColumn id="11" xr3:uid="{00000000-0010-0000-0000-00000B000000}" name="Sal. Líq.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L25"/>
  <sheetViews>
    <sheetView tabSelected="1" workbookViewId="0">
      <selection activeCell="G6" sqref="G6:G21"/>
    </sheetView>
  </sheetViews>
  <sheetFormatPr defaultRowHeight="15" x14ac:dyDescent="0.25"/>
  <cols>
    <col min="1" max="1" width="23.7109375" customWidth="1"/>
    <col min="2" max="2" width="11.7109375" customWidth="1"/>
    <col min="3" max="3" width="27.140625" bestFit="1" customWidth="1"/>
    <col min="4" max="4" width="10.85546875" customWidth="1"/>
    <col min="5" max="5" width="11.42578125" customWidth="1"/>
    <col min="6" max="6" width="9.7109375" customWidth="1"/>
    <col min="7" max="7" width="7.42578125" customWidth="1"/>
    <col min="8" max="8" width="10.85546875" customWidth="1"/>
    <col min="9" max="9" width="9.7109375" customWidth="1"/>
    <col min="10" max="10" width="11.5703125" customWidth="1"/>
    <col min="11" max="11" width="12.28515625" customWidth="1"/>
    <col min="12" max="12" width="18.7109375" customWidth="1"/>
    <col min="13" max="14" width="10.7109375" customWidth="1"/>
  </cols>
  <sheetData>
    <row r="1" spans="1:12" x14ac:dyDescent="0.25">
      <c r="A1" s="7" t="s">
        <v>44</v>
      </c>
      <c r="B1" s="7"/>
      <c r="C1" s="7"/>
      <c r="D1" s="7"/>
      <c r="E1" s="7"/>
      <c r="F1" s="7"/>
      <c r="G1" s="7"/>
      <c r="H1" s="7"/>
      <c r="I1" s="7"/>
      <c r="J1" s="7"/>
      <c r="K1" s="7"/>
    </row>
    <row r="3" spans="1:12" x14ac:dyDescent="0.25">
      <c r="A3" t="s">
        <v>0</v>
      </c>
      <c r="B3" s="2">
        <v>998</v>
      </c>
      <c r="D3" t="s">
        <v>30</v>
      </c>
    </row>
    <row r="5" spans="1:12" x14ac:dyDescent="0.25">
      <c r="A5" s="1" t="s">
        <v>1</v>
      </c>
      <c r="B5" s="1" t="s">
        <v>29</v>
      </c>
      <c r="C5" s="1" t="s">
        <v>2</v>
      </c>
      <c r="D5" s="1" t="s">
        <v>3</v>
      </c>
      <c r="E5" s="1" t="s">
        <v>4</v>
      </c>
      <c r="F5" s="1" t="s">
        <v>5</v>
      </c>
      <c r="G5" s="1" t="s">
        <v>6</v>
      </c>
      <c r="H5" s="1" t="s">
        <v>7</v>
      </c>
      <c r="I5" s="1" t="s">
        <v>8</v>
      </c>
      <c r="J5" s="1" t="s">
        <v>9</v>
      </c>
      <c r="K5" s="1" t="s">
        <v>10</v>
      </c>
      <c r="L5" s="1"/>
    </row>
    <row r="6" spans="1:12" x14ac:dyDescent="0.25">
      <c r="A6" t="str">
        <f>TRIM(CONCATENATE(PROPER(Funcionários!B2)," ",Funcionários!C2," ",PROPER((Funcionários!A2))))</f>
        <v>José Carlos de Almeida</v>
      </c>
      <c r="B6">
        <v>2</v>
      </c>
      <c r="E6" s="2"/>
      <c r="F6" s="2"/>
      <c r="G6">
        <v>1</v>
      </c>
      <c r="H6" s="2"/>
      <c r="I6" s="2"/>
      <c r="J6" s="2"/>
      <c r="K6" s="2"/>
    </row>
    <row r="7" spans="1:12" x14ac:dyDescent="0.25">
      <c r="A7" t="str">
        <f>TRIM(CONCATENATE(PROPER(Funcionários!B3)," ",Funcionários!C3," ",PROPER((Funcionários!A3))))</f>
        <v>Marisa Abreu Silva</v>
      </c>
      <c r="B7">
        <v>2</v>
      </c>
      <c r="E7" s="2"/>
      <c r="F7" s="2"/>
      <c r="G7">
        <v>2</v>
      </c>
      <c r="H7" s="2"/>
      <c r="I7" s="2"/>
      <c r="J7" s="2"/>
      <c r="K7" s="2"/>
    </row>
    <row r="8" spans="1:12" x14ac:dyDescent="0.25">
      <c r="A8" t="str">
        <f>TRIM(CONCATENATE(PROPER(Funcionários!B4)," ",Funcionários!C4," ",PROPER((Funcionários!A4))))</f>
        <v>Pedro de Almeida</v>
      </c>
      <c r="B8">
        <v>3</v>
      </c>
      <c r="E8" s="2"/>
      <c r="F8" s="2"/>
      <c r="G8">
        <v>3</v>
      </c>
      <c r="H8" s="2"/>
      <c r="I8" s="2"/>
      <c r="J8" s="2"/>
      <c r="K8" s="2"/>
    </row>
    <row r="9" spans="1:12" x14ac:dyDescent="0.25">
      <c r="A9" t="str">
        <f>TRIM(CONCATENATE(PROPER(Funcionários!B5)," ",Funcionários!C5," ",PROPER((Funcionários!A5))))</f>
        <v>Vera Jesus</v>
      </c>
      <c r="B9">
        <v>4</v>
      </c>
      <c r="E9" s="2"/>
      <c r="F9" s="2"/>
      <c r="G9">
        <v>0</v>
      </c>
      <c r="H9" s="2"/>
      <c r="I9" s="2"/>
      <c r="J9" s="2"/>
      <c r="K9" s="2"/>
    </row>
    <row r="10" spans="1:12" x14ac:dyDescent="0.25">
      <c r="A10" t="str">
        <f>TRIM(CONCATENATE(PROPER(Funcionários!B6)," ",Funcionários!C6," ",PROPER((Funcionários!A6))))</f>
        <v>Mario Paulo Simões</v>
      </c>
      <c r="B10">
        <v>5</v>
      </c>
      <c r="E10" s="2"/>
      <c r="F10" s="2"/>
      <c r="G10">
        <v>0</v>
      </c>
      <c r="H10" s="2"/>
      <c r="I10" s="2"/>
      <c r="J10" s="2"/>
      <c r="K10" s="2"/>
    </row>
    <row r="11" spans="1:12" x14ac:dyDescent="0.25">
      <c r="A11" t="str">
        <f>TRIM(CONCATENATE(PROPER(Funcionários!B7)," ",Funcionários!C7," ",PROPER((Funcionários!A7))))</f>
        <v>Sheila Maria de Souza</v>
      </c>
      <c r="B11">
        <v>6</v>
      </c>
      <c r="E11" s="2"/>
      <c r="F11" s="2"/>
      <c r="G11">
        <v>3</v>
      </c>
      <c r="H11" s="2"/>
      <c r="I11" s="2"/>
      <c r="J11" s="2"/>
      <c r="K11" s="2"/>
    </row>
    <row r="12" spans="1:12" x14ac:dyDescent="0.25">
      <c r="A12" t="str">
        <f>TRIM(CONCATENATE(PROPER(Funcionários!B8)," ",Funcionários!C8," ",PROPER((Funcionários!A8))))</f>
        <v>Maria Lourdes Garcia</v>
      </c>
      <c r="B12">
        <v>5</v>
      </c>
      <c r="E12" s="2"/>
      <c r="F12" s="2"/>
      <c r="G12">
        <v>4</v>
      </c>
      <c r="H12" s="2"/>
      <c r="I12" s="2"/>
      <c r="J12" s="2"/>
      <c r="K12" s="2"/>
    </row>
    <row r="13" spans="1:12" x14ac:dyDescent="0.25">
      <c r="A13" t="str">
        <f>TRIM(CONCATENATE(PROPER(Funcionários!B9)," ",Funcionários!C9," ",PROPER((Funcionários!A9))))</f>
        <v>Juliana da Silva</v>
      </c>
      <c r="B13">
        <v>6</v>
      </c>
      <c r="E13" s="2"/>
      <c r="F13" s="2"/>
      <c r="G13">
        <v>0</v>
      </c>
      <c r="H13" s="2"/>
      <c r="I13" s="2"/>
      <c r="J13" s="2"/>
      <c r="K13" s="2"/>
    </row>
    <row r="14" spans="1:12" x14ac:dyDescent="0.25">
      <c r="A14" t="str">
        <f>TRIM(CONCATENATE(PROPER(Funcionários!B10)," ",Funcionários!C10," ",PROPER((Funcionários!A10))))</f>
        <v>Mario Antonio de Abreu</v>
      </c>
      <c r="B14">
        <v>2</v>
      </c>
      <c r="E14" s="2"/>
      <c r="F14" s="2"/>
      <c r="G14">
        <v>2</v>
      </c>
      <c r="H14" s="2"/>
      <c r="I14" s="2"/>
      <c r="J14" s="2"/>
      <c r="K14" s="2"/>
    </row>
    <row r="15" spans="1:12" x14ac:dyDescent="0.25">
      <c r="A15" t="str">
        <f>TRIM(CONCATENATE(PROPER(Funcionários!B11)," ",Funcionários!C11," ",PROPER((Funcionários!A11))))</f>
        <v>Wanda Silva Juliano</v>
      </c>
      <c r="B15">
        <v>3</v>
      </c>
      <c r="E15" s="2"/>
      <c r="F15" s="2"/>
      <c r="G15">
        <v>1</v>
      </c>
      <c r="H15" s="2"/>
      <c r="I15" s="2"/>
      <c r="J15" s="2"/>
      <c r="K15" s="2"/>
    </row>
    <row r="16" spans="1:12" x14ac:dyDescent="0.25">
      <c r="A16" t="str">
        <f>TRIM(CONCATENATE(PROPER(Funcionários!B12)," ",Funcionários!C12," ",PROPER((Funcionários!A12))))</f>
        <v>Antonio da Silva</v>
      </c>
      <c r="B16">
        <v>4</v>
      </c>
      <c r="E16" s="2"/>
      <c r="F16" s="2"/>
      <c r="G16">
        <v>1</v>
      </c>
      <c r="H16" s="2"/>
      <c r="I16" s="2"/>
      <c r="J16" s="2"/>
      <c r="K16" s="2"/>
    </row>
    <row r="17" spans="1:11" x14ac:dyDescent="0.25">
      <c r="A17" t="str">
        <f>TRIM(CONCATENATE(PROPER(Funcionários!B13)," ",Funcionários!C13," ",PROPER((Funcionários!A13))))</f>
        <v>Cezar Pedro de Jesus</v>
      </c>
      <c r="B17">
        <v>5</v>
      </c>
      <c r="E17" s="2"/>
      <c r="F17" s="2"/>
      <c r="G17">
        <v>0</v>
      </c>
      <c r="H17" s="2"/>
      <c r="I17" s="2"/>
      <c r="J17" s="2"/>
      <c r="K17" s="2"/>
    </row>
    <row r="18" spans="1:11" x14ac:dyDescent="0.25">
      <c r="A18" t="str">
        <f>TRIM(CONCATENATE(PROPER(Funcionários!B14)," ",Funcionários!C14," ",PROPER((Funcionários!A14))))</f>
        <v>Abel de Souza</v>
      </c>
      <c r="B18">
        <v>1</v>
      </c>
      <c r="E18" s="2"/>
      <c r="F18" s="2"/>
      <c r="G18">
        <v>3</v>
      </c>
      <c r="H18" s="2"/>
      <c r="I18" s="2"/>
      <c r="J18" s="2"/>
      <c r="K18" s="2"/>
    </row>
    <row r="19" spans="1:11" x14ac:dyDescent="0.25">
      <c r="A19" t="str">
        <f>TRIM(CONCATENATE(PROPER(Funcionários!B15)," ",Funcionários!C15," ",PROPER((Funcionários!A15))))</f>
        <v>Antonia de Marinho</v>
      </c>
      <c r="B19">
        <v>2</v>
      </c>
      <c r="E19" s="2"/>
      <c r="F19" s="2"/>
      <c r="G19">
        <v>2</v>
      </c>
      <c r="H19" s="2"/>
      <c r="I19" s="2"/>
      <c r="J19" s="2"/>
      <c r="K19" s="2"/>
    </row>
    <row r="20" spans="1:11" x14ac:dyDescent="0.25">
      <c r="A20" t="str">
        <f>TRIM(CONCATENATE(PROPER(Funcionários!B16)," ",Funcionários!C16," ",PROPER((Funcionários!A16))))</f>
        <v>Josefa de Malaquias</v>
      </c>
      <c r="B20">
        <v>3</v>
      </c>
      <c r="E20" s="2"/>
      <c r="F20" s="2"/>
      <c r="G20">
        <v>0</v>
      </c>
      <c r="H20" s="2"/>
      <c r="I20" s="2"/>
      <c r="J20" s="2"/>
      <c r="K20" s="2"/>
    </row>
    <row r="21" spans="1:11" x14ac:dyDescent="0.25">
      <c r="A21" t="str">
        <f>TRIM(CONCATENATE(PROPER(Funcionários!B17)," ",Funcionários!C17," ",PROPER((Funcionários!A17))))</f>
        <v>Sonia Silva</v>
      </c>
      <c r="B21">
        <v>7</v>
      </c>
      <c r="E21" s="2"/>
      <c r="F21" s="2"/>
      <c r="G21">
        <v>1</v>
      </c>
      <c r="H21" s="2"/>
      <c r="I21" s="2"/>
      <c r="J21" s="2"/>
      <c r="K21" s="2"/>
    </row>
    <row r="22" spans="1:11" x14ac:dyDescent="0.25">
      <c r="A22" s="1" t="s">
        <v>26</v>
      </c>
      <c r="E22" s="6">
        <f>SUM(SalariosBrutos)</f>
        <v>0</v>
      </c>
      <c r="F22" s="2">
        <f>SUM(INSSs)</f>
        <v>0</v>
      </c>
      <c r="H22" s="2">
        <f>SUM(H6:H21)</f>
        <v>0</v>
      </c>
      <c r="I22" s="2">
        <f>SUM(I6:I21)</f>
        <v>0</v>
      </c>
      <c r="J22" s="2">
        <f>SUM(J6:J21)</f>
        <v>0</v>
      </c>
      <c r="K22" s="6">
        <f>SUM(SalariosLiquidos)</f>
        <v>0</v>
      </c>
    </row>
    <row r="23" spans="1:11" x14ac:dyDescent="0.25">
      <c r="A23" s="1" t="s">
        <v>13</v>
      </c>
      <c r="E23" s="2" t="e">
        <f>AVERAGE(E6:E21)</f>
        <v>#DIV/0!</v>
      </c>
      <c r="F23" s="2" t="e">
        <f>AVERAGE(F6:F21)</f>
        <v>#DIV/0!</v>
      </c>
      <c r="H23" s="2" t="e">
        <f>AVERAGE(H6:H21)</f>
        <v>#DIV/0!</v>
      </c>
      <c r="I23" s="2" t="e">
        <f>AVERAGE(I6:I21)</f>
        <v>#DIV/0!</v>
      </c>
      <c r="J23" s="2" t="e">
        <f>AVERAGE(J6:J21)</f>
        <v>#DIV/0!</v>
      </c>
      <c r="K23" s="2" t="e">
        <f>AVERAGE(K6:K21)</f>
        <v>#DIV/0!</v>
      </c>
    </row>
    <row r="24" spans="1:11" x14ac:dyDescent="0.25">
      <c r="A24" s="1" t="s">
        <v>12</v>
      </c>
      <c r="E24" s="2">
        <f>MAX(E6:E21)</f>
        <v>0</v>
      </c>
      <c r="F24" s="2">
        <f>MAX(F6:F21)</f>
        <v>0</v>
      </c>
      <c r="H24" s="2">
        <f>MAX(H6:H21)</f>
        <v>0</v>
      </c>
      <c r="I24" s="2">
        <f>MAX(I6:I21)</f>
        <v>0</v>
      </c>
      <c r="J24" s="2">
        <f>MAX(J6:J21)</f>
        <v>0</v>
      </c>
      <c r="K24" s="2">
        <f>MAX(K6:K21)</f>
        <v>0</v>
      </c>
    </row>
    <row r="25" spans="1:11" x14ac:dyDescent="0.25">
      <c r="A25" s="1" t="s">
        <v>11</v>
      </c>
      <c r="E25" s="2">
        <f>MIN(E6:E21)</f>
        <v>0</v>
      </c>
      <c r="F25" s="2">
        <f>MIN(F6:F21)</f>
        <v>0</v>
      </c>
      <c r="H25" s="2">
        <f>MIN(H6:H21)</f>
        <v>0</v>
      </c>
      <c r="I25" s="2">
        <f>MIN(I6:I21)</f>
        <v>0</v>
      </c>
      <c r="J25" s="2">
        <f>MIN(J6:J21)</f>
        <v>0</v>
      </c>
      <c r="K25" s="2">
        <f>MIN(K6:K21)</f>
        <v>0</v>
      </c>
    </row>
  </sheetData>
  <mergeCells count="1">
    <mergeCell ref="A1:K1"/>
  </mergeCells>
  <pageMargins left="0.511811024" right="0.511811024" top="0.78740157499999996" bottom="0.78740157499999996" header="0.31496062000000002" footer="0.31496062000000002"/>
  <pageSetup paperSize="136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17"/>
  <sheetViews>
    <sheetView workbookViewId="0">
      <selection activeCell="A3" sqref="A3"/>
    </sheetView>
  </sheetViews>
  <sheetFormatPr defaultRowHeight="15" x14ac:dyDescent="0.25"/>
  <cols>
    <col min="1" max="1" width="16" customWidth="1"/>
    <col min="2" max="2" width="27.7109375" customWidth="1"/>
    <col min="3" max="3" width="20.28515625" customWidth="1"/>
  </cols>
  <sheetData>
    <row r="1" spans="1:3" x14ac:dyDescent="0.25">
      <c r="A1" s="1" t="s">
        <v>38</v>
      </c>
      <c r="B1" s="1" t="s">
        <v>37</v>
      </c>
      <c r="C1" s="1" t="s">
        <v>47</v>
      </c>
    </row>
    <row r="2" spans="1:3" x14ac:dyDescent="0.25">
      <c r="A2" t="s">
        <v>31</v>
      </c>
      <c r="B2" t="s">
        <v>48</v>
      </c>
      <c r="C2" t="s">
        <v>39</v>
      </c>
    </row>
    <row r="3" spans="1:3" x14ac:dyDescent="0.25">
      <c r="A3" t="s">
        <v>32</v>
      </c>
      <c r="B3" t="s">
        <v>65</v>
      </c>
    </row>
    <row r="4" spans="1:3" x14ac:dyDescent="0.25">
      <c r="A4" t="s">
        <v>58</v>
      </c>
      <c r="B4" t="s">
        <v>43</v>
      </c>
      <c r="C4" t="s">
        <v>39</v>
      </c>
    </row>
    <row r="5" spans="1:3" x14ac:dyDescent="0.25">
      <c r="A5" t="s">
        <v>59</v>
      </c>
      <c r="B5" t="s">
        <v>49</v>
      </c>
    </row>
    <row r="6" spans="1:3" x14ac:dyDescent="0.25">
      <c r="A6" t="s">
        <v>34</v>
      </c>
      <c r="B6" t="s">
        <v>50</v>
      </c>
    </row>
    <row r="7" spans="1:3" x14ac:dyDescent="0.25">
      <c r="A7" t="s">
        <v>35</v>
      </c>
      <c r="B7" t="s">
        <v>51</v>
      </c>
      <c r="C7" t="s">
        <v>39</v>
      </c>
    </row>
    <row r="8" spans="1:3" x14ac:dyDescent="0.25">
      <c r="A8" t="s">
        <v>60</v>
      </c>
      <c r="B8" t="s">
        <v>64</v>
      </c>
    </row>
    <row r="9" spans="1:3" x14ac:dyDescent="0.25">
      <c r="A9" t="s">
        <v>32</v>
      </c>
      <c r="B9" t="s">
        <v>41</v>
      </c>
      <c r="C9" t="s">
        <v>40</v>
      </c>
    </row>
    <row r="10" spans="1:3" x14ac:dyDescent="0.25">
      <c r="A10" t="s">
        <v>62</v>
      </c>
      <c r="B10" t="s">
        <v>45</v>
      </c>
      <c r="C10" t="s">
        <v>39</v>
      </c>
    </row>
    <row r="11" spans="1:3" x14ac:dyDescent="0.25">
      <c r="A11" t="s">
        <v>61</v>
      </c>
      <c r="B11" t="s">
        <v>56</v>
      </c>
    </row>
    <row r="12" spans="1:3" x14ac:dyDescent="0.25">
      <c r="A12" t="s">
        <v>57</v>
      </c>
      <c r="B12" t="s">
        <v>42</v>
      </c>
      <c r="C12" t="s">
        <v>40</v>
      </c>
    </row>
    <row r="13" spans="1:3" x14ac:dyDescent="0.25">
      <c r="A13" t="s">
        <v>33</v>
      </c>
      <c r="B13" t="s">
        <v>46</v>
      </c>
      <c r="C13" t="s">
        <v>39</v>
      </c>
    </row>
    <row r="14" spans="1:3" x14ac:dyDescent="0.25">
      <c r="A14" t="s">
        <v>35</v>
      </c>
      <c r="B14" t="s">
        <v>52</v>
      </c>
      <c r="C14" t="s">
        <v>39</v>
      </c>
    </row>
    <row r="15" spans="1:3" x14ac:dyDescent="0.25">
      <c r="A15" t="s">
        <v>63</v>
      </c>
      <c r="B15" t="s">
        <v>53</v>
      </c>
      <c r="C15" t="s">
        <v>39</v>
      </c>
    </row>
    <row r="16" spans="1:3" x14ac:dyDescent="0.25">
      <c r="A16" t="s">
        <v>36</v>
      </c>
      <c r="B16" t="s">
        <v>54</v>
      </c>
      <c r="C16" t="s">
        <v>39</v>
      </c>
    </row>
    <row r="17" spans="1:2" x14ac:dyDescent="0.25">
      <c r="A17" t="s">
        <v>32</v>
      </c>
      <c r="B17" t="s">
        <v>55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C8"/>
  <sheetViews>
    <sheetView workbookViewId="0">
      <selection activeCell="D3" sqref="D3"/>
    </sheetView>
  </sheetViews>
  <sheetFormatPr defaultRowHeight="15" x14ac:dyDescent="0.25"/>
  <cols>
    <col min="2" max="2" width="21.85546875" customWidth="1"/>
    <col min="4" max="4" width="14.7109375" customWidth="1"/>
  </cols>
  <sheetData>
    <row r="1" spans="1:3" x14ac:dyDescent="0.25">
      <c r="A1" s="8" t="s">
        <v>28</v>
      </c>
      <c r="B1" s="8"/>
      <c r="C1" s="8"/>
    </row>
    <row r="2" spans="1:3" x14ac:dyDescent="0.25">
      <c r="A2" s="1" t="s">
        <v>14</v>
      </c>
      <c r="B2" s="1" t="s">
        <v>2</v>
      </c>
      <c r="C2" s="1" t="s">
        <v>66</v>
      </c>
    </row>
    <row r="3" spans="1:3" x14ac:dyDescent="0.25">
      <c r="A3">
        <v>1</v>
      </c>
      <c r="B3" t="s">
        <v>15</v>
      </c>
      <c r="C3">
        <v>10</v>
      </c>
    </row>
    <row r="4" spans="1:3" x14ac:dyDescent="0.25">
      <c r="A4">
        <v>2</v>
      </c>
      <c r="B4" t="s">
        <v>16</v>
      </c>
      <c r="C4">
        <v>6</v>
      </c>
    </row>
    <row r="5" spans="1:3" x14ac:dyDescent="0.25">
      <c r="A5">
        <v>3</v>
      </c>
      <c r="B5" t="s">
        <v>17</v>
      </c>
      <c r="C5">
        <v>15</v>
      </c>
    </row>
    <row r="6" spans="1:3" x14ac:dyDescent="0.25">
      <c r="A6">
        <v>4</v>
      </c>
      <c r="B6" t="s">
        <v>18</v>
      </c>
      <c r="C6">
        <v>7</v>
      </c>
    </row>
    <row r="7" spans="1:3" x14ac:dyDescent="0.25">
      <c r="A7">
        <v>5</v>
      </c>
      <c r="B7" t="s">
        <v>19</v>
      </c>
      <c r="C7">
        <v>13</v>
      </c>
    </row>
    <row r="8" spans="1:3" x14ac:dyDescent="0.25">
      <c r="A8">
        <v>6</v>
      </c>
      <c r="B8" t="s">
        <v>20</v>
      </c>
      <c r="C8">
        <v>20</v>
      </c>
    </row>
  </sheetData>
  <mergeCells count="1">
    <mergeCell ref="A1:C1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C7"/>
  <sheetViews>
    <sheetView workbookViewId="0">
      <selection activeCell="C7" sqref="C7"/>
    </sheetView>
  </sheetViews>
  <sheetFormatPr defaultRowHeight="15" x14ac:dyDescent="0.25"/>
  <sheetData>
    <row r="1" spans="1:3" x14ac:dyDescent="0.25">
      <c r="A1" s="8" t="s">
        <v>5</v>
      </c>
      <c r="B1" s="8"/>
      <c r="C1" s="8"/>
    </row>
    <row r="2" spans="1:3" x14ac:dyDescent="0.25">
      <c r="A2" s="8" t="s">
        <v>21</v>
      </c>
      <c r="B2" s="8"/>
      <c r="C2" s="9" t="s">
        <v>24</v>
      </c>
    </row>
    <row r="3" spans="1:3" x14ac:dyDescent="0.25">
      <c r="A3" s="3" t="s">
        <v>22</v>
      </c>
      <c r="B3" s="3" t="s">
        <v>23</v>
      </c>
      <c r="C3" s="9"/>
    </row>
    <row r="4" spans="1:3" x14ac:dyDescent="0.25">
      <c r="A4" s="4">
        <v>0</v>
      </c>
      <c r="B4" s="4">
        <v>4</v>
      </c>
      <c r="C4" s="5">
        <v>5.5E-2</v>
      </c>
    </row>
    <row r="5" spans="1:3" x14ac:dyDescent="0.25">
      <c r="A5" s="4">
        <v>5</v>
      </c>
      <c r="B5" s="4">
        <v>7</v>
      </c>
      <c r="C5" s="5">
        <v>7.0000000000000007E-2</v>
      </c>
    </row>
    <row r="6" spans="1:3" x14ac:dyDescent="0.25">
      <c r="A6" s="4">
        <v>8</v>
      </c>
      <c r="B6" s="4">
        <v>10</v>
      </c>
      <c r="C6" s="5">
        <v>8.5000000000000006E-2</v>
      </c>
    </row>
    <row r="7" spans="1:3" x14ac:dyDescent="0.25">
      <c r="A7" s="4">
        <v>11</v>
      </c>
      <c r="B7" s="4" t="s">
        <v>25</v>
      </c>
      <c r="C7" s="5">
        <v>0.1</v>
      </c>
    </row>
  </sheetData>
  <mergeCells count="3">
    <mergeCell ref="A1:C1"/>
    <mergeCell ref="A2:B2"/>
    <mergeCell ref="C2:C3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11"/>
  <sheetViews>
    <sheetView workbookViewId="0">
      <selection activeCell="A2" sqref="A2:B2"/>
    </sheetView>
  </sheetViews>
  <sheetFormatPr defaultRowHeight="15" x14ac:dyDescent="0.25"/>
  <sheetData>
    <row r="1" spans="1:3" x14ac:dyDescent="0.25">
      <c r="A1" s="8" t="s">
        <v>27</v>
      </c>
      <c r="B1" s="8"/>
      <c r="C1" s="8"/>
    </row>
    <row r="2" spans="1:3" x14ac:dyDescent="0.25">
      <c r="A2" s="8" t="s">
        <v>21</v>
      </c>
      <c r="B2" s="8"/>
      <c r="C2" s="9" t="s">
        <v>24</v>
      </c>
    </row>
    <row r="3" spans="1:3" x14ac:dyDescent="0.25">
      <c r="A3" s="3" t="s">
        <v>22</v>
      </c>
      <c r="B3" s="3" t="s">
        <v>23</v>
      </c>
      <c r="C3" s="9"/>
    </row>
    <row r="4" spans="1:3" x14ac:dyDescent="0.25">
      <c r="A4" s="4">
        <v>0</v>
      </c>
      <c r="B4" s="4">
        <v>1</v>
      </c>
      <c r="C4" s="5">
        <v>0.02</v>
      </c>
    </row>
    <row r="5" spans="1:3" x14ac:dyDescent="0.25">
      <c r="A5" s="4">
        <v>2</v>
      </c>
      <c r="B5" s="4">
        <v>3</v>
      </c>
      <c r="C5" s="5">
        <v>0.04</v>
      </c>
    </row>
    <row r="6" spans="1:3" x14ac:dyDescent="0.25">
      <c r="A6" s="4">
        <v>4</v>
      </c>
      <c r="B6" s="4">
        <v>5</v>
      </c>
      <c r="C6" s="5">
        <v>0.06</v>
      </c>
    </row>
    <row r="7" spans="1:3" x14ac:dyDescent="0.25">
      <c r="A7" s="4">
        <v>6</v>
      </c>
      <c r="B7" s="4">
        <v>7</v>
      </c>
      <c r="C7" s="5">
        <v>0.08</v>
      </c>
    </row>
    <row r="8" spans="1:3" x14ac:dyDescent="0.25">
      <c r="A8" s="4">
        <v>8</v>
      </c>
      <c r="B8" s="4">
        <v>9</v>
      </c>
      <c r="C8" s="5">
        <v>0.1</v>
      </c>
    </row>
    <row r="9" spans="1:3" x14ac:dyDescent="0.25">
      <c r="A9" s="4">
        <v>10</v>
      </c>
      <c r="B9" s="4">
        <v>11</v>
      </c>
      <c r="C9" s="5">
        <v>0.12</v>
      </c>
    </row>
    <row r="10" spans="1:3" x14ac:dyDescent="0.25">
      <c r="A10" s="4">
        <v>12</v>
      </c>
      <c r="B10" s="4">
        <v>13</v>
      </c>
      <c r="C10" s="5">
        <v>0.14000000000000001</v>
      </c>
    </row>
    <row r="11" spans="1:3" x14ac:dyDescent="0.25">
      <c r="A11" s="4">
        <v>14</v>
      </c>
      <c r="B11" s="4" t="s">
        <v>25</v>
      </c>
      <c r="C11" s="5">
        <v>0.16</v>
      </c>
    </row>
  </sheetData>
  <mergeCells count="3">
    <mergeCell ref="C2:C3"/>
    <mergeCell ref="A1:C1"/>
    <mergeCell ref="A2:B2"/>
  </mergeCells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BDAFD93-627A-47E5-92DE-0FE0CBF30DC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3</vt:i4>
      </vt:variant>
    </vt:vector>
  </HeadingPairs>
  <TitlesOfParts>
    <vt:vector size="8" baseType="lpstr">
      <vt:lpstr>Folha de Pagamento</vt:lpstr>
      <vt:lpstr>Funcionários</vt:lpstr>
      <vt:lpstr>Cargos</vt:lpstr>
      <vt:lpstr>INSS</vt:lpstr>
      <vt:lpstr>IRRF</vt:lpstr>
      <vt:lpstr>INSSs</vt:lpstr>
      <vt:lpstr>SalariosBrutos</vt:lpstr>
      <vt:lpstr>SalariosLiquidos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Usuário do Windows</dc:creator>
  <cp:lastModifiedBy>Marlon Andrei Carvalho</cp:lastModifiedBy>
  <dcterms:created xsi:type="dcterms:W3CDTF">2010-05-23T02:29:10Z</dcterms:created>
  <dcterms:modified xsi:type="dcterms:W3CDTF">2021-10-02T17:55:49Z</dcterms:modified>
</cp:coreProperties>
</file>