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diogo\"/>
    </mc:Choice>
  </mc:AlternateContent>
  <bookViews>
    <workbookView xWindow="-105" yWindow="-105" windowWidth="23250" windowHeight="12570"/>
  </bookViews>
  <sheets>
    <sheet name="Folha de Pagamento" sheetId="1" r:id="rId1"/>
    <sheet name="Cargos Folha" sheetId="11" r:id="rId2"/>
    <sheet name="Funcionários" sheetId="9" r:id="rId3"/>
    <sheet name="Cargos" sheetId="2" r:id="rId4"/>
    <sheet name="INSS" sheetId="3" state="hidden" r:id="rId5"/>
    <sheet name="IRRF" sheetId="4" state="hidden" r:id="rId6"/>
  </sheets>
  <definedNames>
    <definedName name="INSSs">'Folha de Pagamento'!$F$6:$F$21</definedName>
    <definedName name="SalariosBrutos">'Folha de Pagamento'!$E$6:$E$21</definedName>
    <definedName name="SalariosLiquidos">'Folha de Pagamento'!$K$6:$K$21</definedName>
    <definedName name="TAB_FUNC">Tabela2[#All]</definedName>
    <definedName name="TABELA">IRRF!$A$4:$C$11</definedName>
    <definedName name="TABELA_INSS">INSS!$A$4:$C$7</definedName>
    <definedName name="TABELA_IRRF">IRRF!$A$4:$C$11</definedName>
    <definedName name="TABELA1">IRRF!$A$4:$C$11</definedName>
    <definedName name="TABELA3">INSS!$A$4:$C$7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" i="1" l="1"/>
  <c r="D6" i="1"/>
  <c r="C6" i="1"/>
  <c r="M6" i="1"/>
  <c r="N6" i="1" s="1"/>
  <c r="B2" i="11" l="1"/>
  <c r="E6" i="1" l="1"/>
  <c r="I6" i="1" s="1"/>
  <c r="J6" i="1" s="1"/>
  <c r="K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F6" i="1" l="1"/>
  <c r="D16" i="1"/>
  <c r="D7" i="1"/>
  <c r="D8" i="1"/>
  <c r="D9" i="1"/>
  <c r="D10" i="1"/>
  <c r="D11" i="1"/>
  <c r="D12" i="1"/>
  <c r="D13" i="1"/>
  <c r="D14" i="1"/>
  <c r="D15" i="1"/>
  <c r="D17" i="1"/>
  <c r="D18" i="1"/>
  <c r="D19" i="1"/>
  <c r="D20" i="1"/>
  <c r="D21" i="1"/>
  <c r="E7" i="1"/>
  <c r="I7" i="1" s="1"/>
  <c r="J7" i="1" s="1"/>
  <c r="K7" i="1" s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F7" i="1" l="1"/>
  <c r="F21" i="1"/>
  <c r="I21" i="1"/>
  <c r="J21" i="1" s="1"/>
  <c r="K21" i="1" s="1"/>
  <c r="F17" i="1"/>
  <c r="I17" i="1"/>
  <c r="J17" i="1" s="1"/>
  <c r="K17" i="1" s="1"/>
  <c r="F13" i="1"/>
  <c r="I13" i="1"/>
  <c r="J13" i="1" s="1"/>
  <c r="K13" i="1" s="1"/>
  <c r="F9" i="1"/>
  <c r="I9" i="1"/>
  <c r="J9" i="1" s="1"/>
  <c r="K9" i="1" s="1"/>
  <c r="F20" i="1"/>
  <c r="I20" i="1"/>
  <c r="J20" i="1" s="1"/>
  <c r="K20" i="1" s="1"/>
  <c r="F16" i="1"/>
  <c r="I16" i="1"/>
  <c r="J16" i="1" s="1"/>
  <c r="K16" i="1" s="1"/>
  <c r="F12" i="1"/>
  <c r="I12" i="1"/>
  <c r="J12" i="1" s="1"/>
  <c r="K12" i="1" s="1"/>
  <c r="F8" i="1"/>
  <c r="I8" i="1"/>
  <c r="J8" i="1" s="1"/>
  <c r="K8" i="1" s="1"/>
  <c r="F19" i="1"/>
  <c r="I19" i="1"/>
  <c r="J19" i="1" s="1"/>
  <c r="K19" i="1" s="1"/>
  <c r="F15" i="1"/>
  <c r="I15" i="1"/>
  <c r="J15" i="1" s="1"/>
  <c r="K15" i="1" s="1"/>
  <c r="F11" i="1"/>
  <c r="I11" i="1"/>
  <c r="J11" i="1" s="1"/>
  <c r="K11" i="1" s="1"/>
  <c r="E22" i="1"/>
  <c r="F18" i="1"/>
  <c r="I18" i="1"/>
  <c r="J18" i="1" s="1"/>
  <c r="K18" i="1" s="1"/>
  <c r="F14" i="1"/>
  <c r="I14" i="1"/>
  <c r="J14" i="1" s="1"/>
  <c r="K14" i="1" s="1"/>
  <c r="F10" i="1"/>
  <c r="I10" i="1"/>
  <c r="J10" i="1" s="1"/>
  <c r="K10" i="1" s="1"/>
  <c r="D22" i="1"/>
  <c r="D23" i="1"/>
  <c r="D24" i="1"/>
  <c r="D25" i="1"/>
  <c r="C7" i="1"/>
  <c r="H7" i="1" s="1"/>
  <c r="C8" i="1"/>
  <c r="C9" i="1"/>
  <c r="H9" i="1" s="1"/>
  <c r="C10" i="1"/>
  <c r="H10" i="1" s="1"/>
  <c r="C11" i="1"/>
  <c r="H11" i="1" s="1"/>
  <c r="C12" i="1"/>
  <c r="H12" i="1" s="1"/>
  <c r="C13" i="1"/>
  <c r="H13" i="1" s="1"/>
  <c r="C14" i="1"/>
  <c r="H14" i="1" s="1"/>
  <c r="C15" i="1"/>
  <c r="H15" i="1" s="1"/>
  <c r="C16" i="1"/>
  <c r="H16" i="1" s="1"/>
  <c r="C17" i="1"/>
  <c r="H17" i="1" s="1"/>
  <c r="C18" i="1"/>
  <c r="H18" i="1" s="1"/>
  <c r="C19" i="1"/>
  <c r="H19" i="1" s="1"/>
  <c r="C20" i="1"/>
  <c r="H20" i="1" s="1"/>
  <c r="C21" i="1"/>
  <c r="H21" i="1" s="1"/>
  <c r="H8" i="1" l="1"/>
  <c r="C2" i="1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H25" i="1" l="1"/>
  <c r="H22" i="1"/>
  <c r="H24" i="1"/>
  <c r="H23" i="1"/>
  <c r="E25" i="1" l="1"/>
  <c r="E23" i="1"/>
  <c r="E24" i="1"/>
  <c r="I24" i="1" l="1"/>
  <c r="F22" i="1"/>
  <c r="I23" i="1"/>
  <c r="I25" i="1"/>
  <c r="I22" i="1"/>
  <c r="F25" i="1"/>
  <c r="F24" i="1"/>
  <c r="F23" i="1"/>
  <c r="K22" i="1" l="1"/>
  <c r="J24" i="1"/>
  <c r="J23" i="1"/>
  <c r="J25" i="1"/>
  <c r="J22" i="1"/>
  <c r="K25" i="1"/>
  <c r="K23" i="1"/>
  <c r="K24" i="1"/>
</calcChain>
</file>

<file path=xl/sharedStrings.xml><?xml version="1.0" encoding="utf-8"?>
<sst xmlns="http://schemas.openxmlformats.org/spreadsheetml/2006/main" count="90" uniqueCount="71">
  <si>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</si>
  <si>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</si>
  <si>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</si>
  <si>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</si>
  <si>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</si>
  <si>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</si>
  <si>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</si>
  <si>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</si>
  <si>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</si>
  <si>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</si>
  <si>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</si>
  <si>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</si>
  <si>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</si>
  <si>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</si>
  <si>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</si>
  <si>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</si>
  <si>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</si>
  <si>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</si>
  <si>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</si>
  <si>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</si>
  <si>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</si>
  <si>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</si>
  <si>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</si>
  <si>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</si>
  <si>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</si>
  <si>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</si>
  <si>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</si>
  <si>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</si>
  <si>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</si>
  <si>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</si>
  <si>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</si>
  <si>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</si>
  <si>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</si>
  <si>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</si>
  <si>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</si>
  <si>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</si>
  <si>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</si>
  <si>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</si>
  <si>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</si>
  <si>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</si>
  <si>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</si>
  <si>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</si>
  <si>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</si>
  <si>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</si>
  <si>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</si>
  <si>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</si>
  <si>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</si>
  <si>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</si>
  <si>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</si>
  <si>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</si>
  <si>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</si>
  <si>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</si>
  <si>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</si>
  <si>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</si>
  <si>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</si>
  <si>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</si>
  <si>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</si>
  <si>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</si>
  <si>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</si>
  <si>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</si>
  <si>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</si>
  <si>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</si>
  <si>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</si>
  <si>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</si>
  <si>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</si>
  <si>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</si>
  <si>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</si>
  <si>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</si>
  <si>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Dependentes</t>
  </si>
  <si>
    <t>Total Bruto</t>
  </si>
  <si>
    <t>Cód. Barras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</si>
</sst>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rcode font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1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44" fontId="0" fillId="0" borderId="0" xfId="1" applyFont="1"/>
    <xf numFmtId="44" fontId="0" fillId="0" borderId="0" xfId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</cellXfs>
  <cellStyles count="2">
    <cellStyle name="Moeda" xfId="1" builtinId="4"/>
    <cellStyle name="Normal" xfId="0" builtinId="0"/>
  </cellStyles>
  <dxfs count="23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ela2" displayName="Tabela2" ref="A5:K25" totalsRowShown="0" headerRowDxfId="21">
  <autoFilter ref="A5:K25"/>
  <tableColumns count="11">
    <tableColumn id="1" name="Funcionário" dataDxfId="20"/>
    <tableColumn id="2" name="Cód.Cargo"/>
    <tableColumn id="3" name="Cargo" dataDxfId="19">
      <calculatedColumnFormula>IF(OR(B6&lt;1,B6&gt;15),"ERRO!!!",VLOOKUP(B6,Cargos!A$3:C$8,2,FALSE))</calculatedColumnFormula>
    </tableColumn>
    <tableColumn id="4" name="Nr. Sal. " dataDxfId="18">
      <calculatedColumnFormula>IF(OR(B6&lt;1,B6&gt;15),"",VLOOKUP(B6,Cargos!A$3:C$8,3,FALSE))</calculatedColumnFormula>
    </tableColumn>
    <tableColumn id="5" name="Sal. Bruto " dataDxfId="17"/>
    <tableColumn id="6" name="INSS" dataDxfId="16"/>
    <tableColumn id="7" name="Dep."/>
    <tableColumn id="8" name="Sal. Fam. " dataDxfId="3"/>
    <tableColumn id="9" name="IRRF " dataDxfId="2"/>
    <tableColumn id="10" name="Tot. Desc. " dataDxfId="1"/>
    <tableColumn id="11" name="Sal. Líq. 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4" displayName="Tabela4" ref="M5:N21" totalsRowShown="0" headerRowDxfId="15" dataDxfId="13" headerRowBorderDxfId="14" tableBorderDxfId="12" totalsRowBorderDxfId="11">
  <autoFilter ref="M5:N21"/>
  <tableColumns count="2">
    <tableColumn id="1" name="Crachá" dataDxfId="4">
      <calculatedColumnFormula>RANDBETWEEN(10000000,99999999)</calculatedColumnFormula>
    </tableColumn>
    <tableColumn id="2" name="Cód. Barras" dataDxfId="5">
      <calculatedColumnFormula>Tabela4[[#This Row],[Crachá]]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A1:C2" totalsRowShown="0" headerRowDxfId="10" dataDxfId="9">
  <autoFilter ref="A1:C2"/>
  <tableColumns count="3">
    <tableColumn id="1" name="Cód.Cargo" dataDxfId="8"/>
    <tableColumn id="2" name="Cargo" dataDxfId="7">
      <calculatedColumnFormula>VLOOKUP(A2,Cargos!A3:C82,2,FALSE)</calculatedColumnFormula>
    </tableColumn>
    <tableColumn id="3" name="Total Bruto" dataDxfId="6" dataCellStyle="Moeda">
      <calculatedColumnFormula>DSUM(TAB_FUNC,Tabela2[[#Headers],[Sal. Bruto ]],Tabela5[[#All],[Cód.Cargo]:[Cargo]])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25"/>
  <sheetViews>
    <sheetView tabSelected="1" zoomScale="115" zoomScaleNormal="115" workbookViewId="0">
      <selection activeCell="G16" sqref="G16"/>
    </sheetView>
  </sheetViews>
  <sheetFormatPr defaultRowHeight="15" x14ac:dyDescent="0.25"/>
  <cols>
    <col min="1" max="1" width="23.7109375" customWidth="1"/>
    <col min="2" max="2" width="14.42578125" customWidth="1"/>
    <col min="3" max="3" width="27.140625" bestFit="1" customWidth="1"/>
    <col min="4" max="4" width="10.85546875" customWidth="1"/>
    <col min="5" max="5" width="11.42578125" customWidth="1"/>
    <col min="6" max="6" width="11.7109375" customWidth="1"/>
    <col min="7" max="7" width="7.42578125" customWidth="1"/>
    <col min="8" max="8" width="10.85546875" customWidth="1"/>
    <col min="9" max="9" width="9.7109375" customWidth="1"/>
    <col min="10" max="10" width="11.5703125" customWidth="1"/>
    <col min="11" max="11" width="12.28515625" customWidth="1"/>
    <col min="12" max="12" width="18.7109375" customWidth="1"/>
    <col min="13" max="14" width="10.7109375" customWidth="1"/>
  </cols>
  <sheetData>
    <row r="1" spans="1:14" x14ac:dyDescent="0.25">
      <c r="A1" s="14" t="s">
        <v>44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3" spans="1:14" x14ac:dyDescent="0.25">
      <c r="A3" t="s">
        <v>0</v>
      </c>
      <c r="B3" s="12">
        <v>1100</v>
      </c>
      <c r="D3" t="s">
        <v>30</v>
      </c>
      <c r="E3" s="19">
        <v>44470</v>
      </c>
    </row>
    <row r="5" spans="1:14" x14ac:dyDescent="0.25">
      <c r="A5" s="1" t="s">
        <v>1</v>
      </c>
      <c r="B5" s="1" t="s">
        <v>29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/>
      <c r="M5" s="10" t="s">
        <v>67</v>
      </c>
      <c r="N5" s="10" t="s">
        <v>70</v>
      </c>
    </row>
    <row r="6" spans="1:14" x14ac:dyDescent="0.25">
      <c r="A6" t="str">
        <f>TRIM(CONCATENATE(PROPER(Funcionários!B2)," ",Funcionários!C2," ",PROPER((Funcionários!A2))))</f>
        <v>José Carlos de Almeida</v>
      </c>
      <c r="B6" s="18">
        <v>2</v>
      </c>
      <c r="C6" t="str">
        <f>IF(OR(B6&lt;1,B6&gt;15),"ERRO!!!",VLOOKUP(B6,Cargos!A$3:C$8,2,FALSE))</f>
        <v>Auxiliar de Contabilidade</v>
      </c>
      <c r="D6">
        <f>IF(OR(B6&lt;1,B6&gt;15),"",VLOOKUP(B6,Cargos!A$3:C$8,3,FALSE))</f>
        <v>6</v>
      </c>
      <c r="E6" s="2">
        <f>IFERROR(VLOOKUP(B6,Cargos!A$3:C$8,3,FALSE)*B$3,"")</f>
        <v>6600</v>
      </c>
      <c r="F6" s="2">
        <f>VLOOKUP(D6,TABELA_INSS,3,TRUE)*Tabela2[[#This Row],[Sal. Bruto ]]</f>
        <v>462.00000000000006</v>
      </c>
      <c r="G6" s="18">
        <v>1</v>
      </c>
      <c r="H6" s="2">
        <f>IF(C6="ERRO!!!",0,B$3/8*G6)</f>
        <v>137.5</v>
      </c>
      <c r="I6" s="7">
        <f>VLOOKUP(G6,TABELA_IRRF,3,TRUE)*Tabela2[[#This Row],[Sal. Bruto ]]</f>
        <v>132</v>
      </c>
      <c r="J6" s="2">
        <f>F6+I6</f>
        <v>594</v>
      </c>
      <c r="K6" s="2">
        <f>E6-J6</f>
        <v>6006</v>
      </c>
      <c r="M6" s="9">
        <f ca="1">RANDBETWEEN(10000000,99999999)</f>
        <v>75594677</v>
      </c>
      <c r="N6" s="17">
        <f ca="1">Tabela4[[#This Row],[Crachá]]</f>
        <v>75594677</v>
      </c>
    </row>
    <row r="7" spans="1:14" x14ac:dyDescent="0.25">
      <c r="A7" t="str">
        <f>TRIM(CONCATENATE(PROPER(Funcionários!B3)," ",Funcionários!C3," ",PROPER((Funcionários!A3))))</f>
        <v>Marisa Abreu Silva</v>
      </c>
      <c r="B7" s="18">
        <v>2</v>
      </c>
      <c r="C7" t="str">
        <f>IF(OR(B7&lt;1,B7&gt;15),"ERRO!!!",VLOOKUP(B7,Cargos!A$3:C$8,2,FALSE))</f>
        <v>Auxiliar de Contabilidade</v>
      </c>
      <c r="D7">
        <f>IF(OR(B7&lt;1,B7&gt;15),"",VLOOKUP(B7,Cargos!A$3:C$8,3,FALSE))</f>
        <v>6</v>
      </c>
      <c r="E7" s="2">
        <f>IFERROR(VLOOKUP(B7,Cargos!A$3:C$8,3,FALSE)*B$3,"")</f>
        <v>6600</v>
      </c>
      <c r="F7" s="2">
        <f>VLOOKUP(D7,TABELA_INSS,3,TRUE)*Tabela2[[#This Row],[Sal. Bruto ]]</f>
        <v>462.00000000000006</v>
      </c>
      <c r="G7" s="18">
        <v>2</v>
      </c>
      <c r="H7" s="2">
        <f t="shared" ref="H7:H21" si="0">IF(C7="ERRO!!!",0,B$3/8*G7)</f>
        <v>275</v>
      </c>
      <c r="I7" s="7">
        <f>VLOOKUP(G7,TABELA_IRRF,3,TRUE)*Tabela2[[#This Row],[Sal. Bruto ]]</f>
        <v>264</v>
      </c>
      <c r="J7" s="2">
        <f t="shared" ref="J7:J21" si="1">F7+I7</f>
        <v>726</v>
      </c>
      <c r="K7" s="2">
        <f t="shared" ref="K7:K21" si="2">E7-J7</f>
        <v>5874</v>
      </c>
      <c r="M7" s="9">
        <f t="shared" ref="M7:M21" ca="1" si="3">RANDBETWEEN(10000000,99999999)</f>
        <v>80557088</v>
      </c>
      <c r="N7" s="17">
        <f ca="1">Tabela4[[#This Row],[Crachá]]</f>
        <v>80557088</v>
      </c>
    </row>
    <row r="8" spans="1:14" x14ac:dyDescent="0.25">
      <c r="A8" t="str">
        <f>TRIM(CONCATENATE(PROPER(Funcionários!B4)," ",Funcionários!C4," ",PROPER((Funcionários!A4))))</f>
        <v>Pedro de Almeida</v>
      </c>
      <c r="B8" s="18">
        <v>3</v>
      </c>
      <c r="C8" t="str">
        <f>IF(OR(B8&lt;1,B8&gt;15),"ERRO!!!",VLOOKUP(B8,Cargos!A$3:C$8,2,FALSE))</f>
        <v>Chefe de Cobrança</v>
      </c>
      <c r="D8">
        <f>IF(OR(B8&lt;1,B8&gt;15),"",VLOOKUP(B8,Cargos!A$3:C$8,3,FALSE))</f>
        <v>15</v>
      </c>
      <c r="E8" s="2">
        <f>IFERROR(VLOOKUP(B8,Cargos!A$3:C$8,3,FALSE)*B$3,"")</f>
        <v>16500</v>
      </c>
      <c r="F8" s="2">
        <f>VLOOKUP(D8,TABELA_INSS,3,TRUE)*Tabela2[[#This Row],[Sal. Bruto ]]</f>
        <v>1650</v>
      </c>
      <c r="G8" s="18">
        <v>3</v>
      </c>
      <c r="H8" s="2">
        <f t="shared" si="0"/>
        <v>412.5</v>
      </c>
      <c r="I8" s="7">
        <f>VLOOKUP(G8,TABELA_IRRF,3,TRUE)*Tabela2[[#This Row],[Sal. Bruto ]]</f>
        <v>660</v>
      </c>
      <c r="J8" s="2">
        <f t="shared" si="1"/>
        <v>2310</v>
      </c>
      <c r="K8" s="2">
        <f t="shared" si="2"/>
        <v>14190</v>
      </c>
      <c r="M8" s="9">
        <f t="shared" ca="1" si="3"/>
        <v>81960211</v>
      </c>
      <c r="N8" s="17">
        <f ca="1">Tabela4[[#This Row],[Crachá]]</f>
        <v>81960211</v>
      </c>
    </row>
    <row r="9" spans="1:14" x14ac:dyDescent="0.25">
      <c r="A9" t="str">
        <f>TRIM(CONCATENATE(PROPER(Funcionários!B5)," ",Funcionários!C5," ",PROPER((Funcionários!A5))))</f>
        <v>Vera Jesus</v>
      </c>
      <c r="B9" s="18">
        <v>4</v>
      </c>
      <c r="C9" t="str">
        <f>IF(OR(B9&lt;1,B9&gt;15),"ERRO!!!",VLOOKUP(B9,Cargos!A$3:C$8,2,FALSE))</f>
        <v>Chefe de Expedição</v>
      </c>
      <c r="D9">
        <f>IF(OR(B9&lt;1,B9&gt;15),"",VLOOKUP(B9,Cargos!A$3:C$8,3,FALSE))</f>
        <v>7</v>
      </c>
      <c r="E9" s="2">
        <f>IFERROR(VLOOKUP(B9,Cargos!A$3:C$8,3,FALSE)*B$3,"")</f>
        <v>7700</v>
      </c>
      <c r="F9" s="2">
        <f>VLOOKUP(D9,TABELA_INSS,3,TRUE)*Tabela2[[#This Row],[Sal. Bruto ]]</f>
        <v>539</v>
      </c>
      <c r="G9" s="18">
        <v>0</v>
      </c>
      <c r="H9" s="2">
        <f t="shared" si="0"/>
        <v>0</v>
      </c>
      <c r="I9" s="7">
        <f>VLOOKUP(G9,TABELA_IRRF,3,TRUE)*Tabela2[[#This Row],[Sal. Bruto ]]</f>
        <v>154</v>
      </c>
      <c r="J9" s="2">
        <f t="shared" si="1"/>
        <v>693</v>
      </c>
      <c r="K9" s="2">
        <f t="shared" si="2"/>
        <v>7007</v>
      </c>
      <c r="M9" s="9">
        <f t="shared" ca="1" si="3"/>
        <v>77577722</v>
      </c>
      <c r="N9" s="17">
        <f ca="1">Tabela4[[#This Row],[Crachá]]</f>
        <v>77577722</v>
      </c>
    </row>
    <row r="10" spans="1:14" x14ac:dyDescent="0.25">
      <c r="A10" t="str">
        <f>TRIM(CONCATENATE(PROPER(Funcionários!B6)," ",Funcionários!C6," ",PROPER((Funcionários!A6))))</f>
        <v>Mario Paulo Simões</v>
      </c>
      <c r="B10" s="18">
        <v>5</v>
      </c>
      <c r="C10" t="str">
        <f>IF(OR(B10&lt;1,B10&gt;15),"ERRO!!!",VLOOKUP(B10,Cargos!A$3:C$8,2,FALSE))</f>
        <v>Contador</v>
      </c>
      <c r="D10">
        <f>IF(OR(B10&lt;1,B10&gt;15),"",VLOOKUP(B10,Cargos!A$3:C$8,3,FALSE))</f>
        <v>13</v>
      </c>
      <c r="E10" s="2">
        <f>IFERROR(VLOOKUP(B10,Cargos!A$3:C$8,3,FALSE)*B$3,"")</f>
        <v>14300</v>
      </c>
      <c r="F10" s="2">
        <f>VLOOKUP(D10,TABELA_INSS,3,TRUE)*Tabela2[[#This Row],[Sal. Bruto ]]</f>
        <v>1430</v>
      </c>
      <c r="G10" s="18">
        <v>0</v>
      </c>
      <c r="H10" s="2">
        <f t="shared" si="0"/>
        <v>0</v>
      </c>
      <c r="I10" s="7">
        <f>VLOOKUP(G10,TABELA_IRRF,3,TRUE)*Tabela2[[#This Row],[Sal. Bruto ]]</f>
        <v>286</v>
      </c>
      <c r="J10" s="2">
        <f t="shared" si="1"/>
        <v>1716</v>
      </c>
      <c r="K10" s="2">
        <f t="shared" si="2"/>
        <v>12584</v>
      </c>
      <c r="M10" s="9">
        <f t="shared" ca="1" si="3"/>
        <v>31513430</v>
      </c>
      <c r="N10" s="17">
        <f ca="1">Tabela4[[#This Row],[Crachá]]</f>
        <v>31513430</v>
      </c>
    </row>
    <row r="11" spans="1:14" x14ac:dyDescent="0.25">
      <c r="A11" t="str">
        <f>TRIM(CONCATENATE(PROPER(Funcionários!B7)," ",Funcionários!C7," ",PROPER((Funcionários!A7))))</f>
        <v>Sheila Maria de Souza</v>
      </c>
      <c r="B11" s="18">
        <v>6</v>
      </c>
      <c r="C11" t="str">
        <f>IF(OR(B11&lt;1,B11&gt;15),"ERRO!!!",VLOOKUP(B11,Cargos!A$3:C$8,2,FALSE))</f>
        <v>Diretor de Divisão</v>
      </c>
      <c r="D11">
        <f>IF(OR(B11&lt;1,B11&gt;15),"",VLOOKUP(B11,Cargos!A$3:C$8,3,FALSE))</f>
        <v>20</v>
      </c>
      <c r="E11" s="2">
        <f>IFERROR(VLOOKUP(B11,Cargos!A$3:C$8,3,FALSE)*B$3,"")</f>
        <v>22000</v>
      </c>
      <c r="F11" s="2">
        <f>VLOOKUP(D11,TABELA_INSS,3,TRUE)*Tabela2[[#This Row],[Sal. Bruto ]]</f>
        <v>2200</v>
      </c>
      <c r="G11" s="18">
        <v>3</v>
      </c>
      <c r="H11" s="2">
        <f t="shared" si="0"/>
        <v>412.5</v>
      </c>
      <c r="I11" s="7">
        <f>VLOOKUP(G11,TABELA_IRRF,3,TRUE)*Tabela2[[#This Row],[Sal. Bruto ]]</f>
        <v>880</v>
      </c>
      <c r="J11" s="2">
        <f t="shared" si="1"/>
        <v>3080</v>
      </c>
      <c r="K11" s="2">
        <f t="shared" si="2"/>
        <v>18920</v>
      </c>
      <c r="M11" s="9">
        <f t="shared" ca="1" si="3"/>
        <v>52552483</v>
      </c>
      <c r="N11" s="17">
        <f ca="1">Tabela4[[#This Row],[Crachá]]</f>
        <v>52552483</v>
      </c>
    </row>
    <row r="12" spans="1:14" x14ac:dyDescent="0.25">
      <c r="A12" t="str">
        <f>TRIM(CONCATENATE(PROPER(Funcionários!B8)," ",Funcionários!C8," ",PROPER((Funcionários!A8))))</f>
        <v>Maria Lourdes Garcia</v>
      </c>
      <c r="B12" s="18">
        <v>5</v>
      </c>
      <c r="C12" t="str">
        <f>IF(OR(B12&lt;1,B12&gt;15),"ERRO!!!",VLOOKUP(B12,Cargos!A$3:C$8,2,FALSE))</f>
        <v>Contador</v>
      </c>
      <c r="D12">
        <f>IF(OR(B12&lt;1,B12&gt;15),"",VLOOKUP(B12,Cargos!A$3:C$8,3,FALSE))</f>
        <v>13</v>
      </c>
      <c r="E12" s="2">
        <f>IFERROR(VLOOKUP(B12,Cargos!A$3:C$8,3,FALSE)*B$3,"")</f>
        <v>14300</v>
      </c>
      <c r="F12" s="2">
        <f>VLOOKUP(D12,TABELA_INSS,3,TRUE)*Tabela2[[#This Row],[Sal. Bruto ]]</f>
        <v>1430</v>
      </c>
      <c r="G12" s="18">
        <v>4</v>
      </c>
      <c r="H12" s="2">
        <f t="shared" si="0"/>
        <v>550</v>
      </c>
      <c r="I12" s="7">
        <f>VLOOKUP(G12,TABELA_IRRF,3,TRUE)*Tabela2[[#This Row],[Sal. Bruto ]]</f>
        <v>858</v>
      </c>
      <c r="J12" s="2">
        <f t="shared" si="1"/>
        <v>2288</v>
      </c>
      <c r="K12" s="2">
        <f t="shared" si="2"/>
        <v>12012</v>
      </c>
      <c r="M12" s="9">
        <f t="shared" ca="1" si="3"/>
        <v>88231831</v>
      </c>
      <c r="N12" s="17">
        <f ca="1">Tabela4[[#This Row],[Crachá]]</f>
        <v>88231831</v>
      </c>
    </row>
    <row r="13" spans="1:14" x14ac:dyDescent="0.25">
      <c r="A13" t="str">
        <f>TRIM(CONCATENATE(PROPER(Funcionários!B9)," ",Funcionários!C9," ",PROPER((Funcionários!A9))))</f>
        <v>Juliana da Silva</v>
      </c>
      <c r="B13" s="18">
        <v>6</v>
      </c>
      <c r="C13" t="str">
        <f>IF(OR(B13&lt;1,B13&gt;15),"ERRO!!!",VLOOKUP(B13,Cargos!A$3:C$8,2,FALSE))</f>
        <v>Diretor de Divisão</v>
      </c>
      <c r="D13">
        <f>IF(OR(B13&lt;1,B13&gt;15),"",VLOOKUP(B13,Cargos!A$3:C$8,3,FALSE))</f>
        <v>20</v>
      </c>
      <c r="E13" s="2">
        <f>IFERROR(VLOOKUP(B13,Cargos!A$3:C$8,3,FALSE)*B$3,"")</f>
        <v>22000</v>
      </c>
      <c r="F13" s="2">
        <f>VLOOKUP(D13,TABELA_INSS,3,TRUE)*Tabela2[[#This Row],[Sal. Bruto ]]</f>
        <v>2200</v>
      </c>
      <c r="G13" s="18">
        <v>0</v>
      </c>
      <c r="H13" s="2">
        <f t="shared" si="0"/>
        <v>0</v>
      </c>
      <c r="I13" s="7">
        <f>VLOOKUP(G13,TABELA_IRRF,3,TRUE)*Tabela2[[#This Row],[Sal. Bruto ]]</f>
        <v>440</v>
      </c>
      <c r="J13" s="2">
        <f t="shared" si="1"/>
        <v>2640</v>
      </c>
      <c r="K13" s="2">
        <f t="shared" si="2"/>
        <v>19360</v>
      </c>
      <c r="M13" s="9">
        <f t="shared" ca="1" si="3"/>
        <v>47792010</v>
      </c>
      <c r="N13" s="17">
        <f ca="1">Tabela4[[#This Row],[Crachá]]</f>
        <v>47792010</v>
      </c>
    </row>
    <row r="14" spans="1:14" x14ac:dyDescent="0.25">
      <c r="A14" t="str">
        <f>TRIM(CONCATENATE(PROPER(Funcionários!B10)," ",Funcionários!C10," ",PROPER((Funcionários!A10))))</f>
        <v>Mario Antonio de Abreu</v>
      </c>
      <c r="B14" s="18">
        <v>2</v>
      </c>
      <c r="C14" t="str">
        <f>IF(OR(B14&lt;1,B14&gt;15),"ERRO!!!",VLOOKUP(B14,Cargos!A$3:C$8,2,FALSE))</f>
        <v>Auxiliar de Contabilidade</v>
      </c>
      <c r="D14">
        <f>IF(OR(B14&lt;1,B14&gt;15),"",VLOOKUP(B14,Cargos!A$3:C$8,3,FALSE))</f>
        <v>6</v>
      </c>
      <c r="E14" s="2">
        <f>IFERROR(VLOOKUP(B14,Cargos!A$3:C$8,3,FALSE)*B$3,"")</f>
        <v>6600</v>
      </c>
      <c r="F14" s="2">
        <f>VLOOKUP(D14,TABELA_INSS,3,TRUE)*Tabela2[[#This Row],[Sal. Bruto ]]</f>
        <v>462.00000000000006</v>
      </c>
      <c r="G14" s="18">
        <v>2</v>
      </c>
      <c r="H14" s="2">
        <f t="shared" si="0"/>
        <v>275</v>
      </c>
      <c r="I14" s="7">
        <f>VLOOKUP(G14,TABELA_IRRF,3,TRUE)*Tabela2[[#This Row],[Sal. Bruto ]]</f>
        <v>264</v>
      </c>
      <c r="J14" s="2">
        <f t="shared" si="1"/>
        <v>726</v>
      </c>
      <c r="K14" s="2">
        <f t="shared" si="2"/>
        <v>5874</v>
      </c>
      <c r="M14" s="9">
        <f t="shared" ca="1" si="3"/>
        <v>87240002</v>
      </c>
      <c r="N14" s="17">
        <f ca="1">Tabela4[[#This Row],[Crachá]]</f>
        <v>87240002</v>
      </c>
    </row>
    <row r="15" spans="1:14" x14ac:dyDescent="0.25">
      <c r="A15" t="str">
        <f>TRIM(CONCATENATE(PROPER(Funcionários!B11)," ",Funcionários!C11," ",PROPER((Funcionários!A11))))</f>
        <v>Wanda Silva Juliano</v>
      </c>
      <c r="B15" s="18">
        <v>3</v>
      </c>
      <c r="C15" t="str">
        <f>IF(OR(B15&lt;1,B15&gt;15),"ERRO!!!",VLOOKUP(B15,Cargos!A$3:C$8,2,FALSE))</f>
        <v>Chefe de Cobrança</v>
      </c>
      <c r="D15">
        <f>IF(OR(B15&lt;1,B15&gt;15),"",VLOOKUP(B15,Cargos!A$3:C$8,3,FALSE))</f>
        <v>15</v>
      </c>
      <c r="E15" s="2">
        <f>IFERROR(VLOOKUP(B15,Cargos!A$3:C$8,3,FALSE)*B$3,"")</f>
        <v>16500</v>
      </c>
      <c r="F15" s="2">
        <f>VLOOKUP(D15,TABELA_INSS,3,TRUE)*Tabela2[[#This Row],[Sal. Bruto ]]</f>
        <v>1650</v>
      </c>
      <c r="G15" s="18">
        <v>1</v>
      </c>
      <c r="H15" s="2">
        <f t="shared" si="0"/>
        <v>137.5</v>
      </c>
      <c r="I15" s="7">
        <f>VLOOKUP(G15,TABELA_IRRF,3,TRUE)*Tabela2[[#This Row],[Sal. Bruto ]]</f>
        <v>330</v>
      </c>
      <c r="J15" s="2">
        <f t="shared" si="1"/>
        <v>1980</v>
      </c>
      <c r="K15" s="2">
        <f t="shared" si="2"/>
        <v>14520</v>
      </c>
      <c r="M15" s="9">
        <f t="shared" ca="1" si="3"/>
        <v>38881463</v>
      </c>
      <c r="N15" s="17">
        <f ca="1">Tabela4[[#This Row],[Crachá]]</f>
        <v>38881463</v>
      </c>
    </row>
    <row r="16" spans="1:14" x14ac:dyDescent="0.25">
      <c r="A16" t="str">
        <f>TRIM(CONCATENATE(PROPER(Funcionários!B12)," ",Funcionários!C12," ",PROPER((Funcionários!A12))))</f>
        <v>Antonio da Silva</v>
      </c>
      <c r="B16" s="18">
        <v>4</v>
      </c>
      <c r="C16" t="str">
        <f>IF(OR(B16&lt;1,B16&gt;15),"ERRO!!!",VLOOKUP(B16,Cargos!A$3:C$8,2,FALSE))</f>
        <v>Chefe de Expedição</v>
      </c>
      <c r="D16">
        <f>IF(OR(B16&lt;1,B16&gt;15),"",VLOOKUP(B16,Cargos!A$3:C$8,3,FALSE))</f>
        <v>7</v>
      </c>
      <c r="E16" s="2">
        <f>IFERROR(VLOOKUP(B16,Cargos!A$3:C$8,3,FALSE)*B$3,"")</f>
        <v>7700</v>
      </c>
      <c r="F16" s="2">
        <f>VLOOKUP(D16,TABELA_INSS,3,TRUE)*Tabela2[[#This Row],[Sal. Bruto ]]</f>
        <v>539</v>
      </c>
      <c r="G16" s="18">
        <v>1</v>
      </c>
      <c r="H16" s="2">
        <f t="shared" si="0"/>
        <v>137.5</v>
      </c>
      <c r="I16" s="7">
        <f>VLOOKUP(G16,TABELA_IRRF,3,TRUE)*Tabela2[[#This Row],[Sal. Bruto ]]</f>
        <v>154</v>
      </c>
      <c r="J16" s="2">
        <f t="shared" si="1"/>
        <v>693</v>
      </c>
      <c r="K16" s="2">
        <f t="shared" si="2"/>
        <v>7007</v>
      </c>
      <c r="M16" s="9">
        <f t="shared" ca="1" si="3"/>
        <v>35977508</v>
      </c>
      <c r="N16" s="17">
        <f ca="1">Tabela4[[#This Row],[Crachá]]</f>
        <v>35977508</v>
      </c>
    </row>
    <row r="17" spans="1:14" x14ac:dyDescent="0.25">
      <c r="A17" t="str">
        <f>TRIM(CONCATENATE(PROPER(Funcionários!B13)," ",Funcionários!C13," ",PROPER((Funcionários!A13))))</f>
        <v>Cezar Pedro de Jesus</v>
      </c>
      <c r="B17" s="18">
        <v>5</v>
      </c>
      <c r="C17" t="str">
        <f>IF(OR(B17&lt;1,B17&gt;15),"ERRO!!!",VLOOKUP(B17,Cargos!A$3:C$8,2,FALSE))</f>
        <v>Contador</v>
      </c>
      <c r="D17">
        <f>IF(OR(B17&lt;1,B17&gt;15),"",VLOOKUP(B17,Cargos!A$3:C$8,3,FALSE))</f>
        <v>13</v>
      </c>
      <c r="E17" s="2">
        <f>IFERROR(VLOOKUP(B17,Cargos!A$3:C$8,3,FALSE)*B$3,"")</f>
        <v>14300</v>
      </c>
      <c r="F17" s="2">
        <f>VLOOKUP(D17,TABELA_INSS,3,TRUE)*Tabela2[[#This Row],[Sal. Bruto ]]</f>
        <v>1430</v>
      </c>
      <c r="G17" s="18">
        <v>0</v>
      </c>
      <c r="H17" s="2">
        <f t="shared" si="0"/>
        <v>0</v>
      </c>
      <c r="I17" s="7">
        <f>VLOOKUP(G17,TABELA_IRRF,3,TRUE)*Tabela2[[#This Row],[Sal. Bruto ]]</f>
        <v>286</v>
      </c>
      <c r="J17" s="2">
        <f t="shared" si="1"/>
        <v>1716</v>
      </c>
      <c r="K17" s="2">
        <f t="shared" si="2"/>
        <v>12584</v>
      </c>
      <c r="M17" s="9">
        <f t="shared" ca="1" si="3"/>
        <v>70952708</v>
      </c>
      <c r="N17" s="17">
        <f ca="1">Tabela4[[#This Row],[Crachá]]</f>
        <v>70952708</v>
      </c>
    </row>
    <row r="18" spans="1:14" x14ac:dyDescent="0.25">
      <c r="A18" t="str">
        <f>TRIM(CONCATENATE(PROPER(Funcionários!B14)," ",Funcionários!C14," ",PROPER((Funcionários!A14))))</f>
        <v>Abel de Souza</v>
      </c>
      <c r="B18" s="18">
        <v>1</v>
      </c>
      <c r="C18" t="str">
        <f>IF(OR(B18&lt;1,B18&gt;15),"ERRO!!!",VLOOKUP(B18,Cargos!A$3:C$8,2,FALSE))</f>
        <v>Análista de Salários</v>
      </c>
      <c r="D18">
        <f>IF(OR(B18&lt;1,B18&gt;15),"",VLOOKUP(B18,Cargos!A$3:C$8,3,FALSE))</f>
        <v>10</v>
      </c>
      <c r="E18" s="2">
        <f>IFERROR(VLOOKUP(B18,Cargos!A$3:C$8,3,FALSE)*B$3,"")</f>
        <v>11000</v>
      </c>
      <c r="F18" s="2">
        <f>VLOOKUP(D18,TABELA_INSS,3,TRUE)*Tabela2[[#This Row],[Sal. Bruto ]]</f>
        <v>935.00000000000011</v>
      </c>
      <c r="G18" s="18">
        <v>3</v>
      </c>
      <c r="H18" s="2">
        <f t="shared" si="0"/>
        <v>412.5</v>
      </c>
      <c r="I18" s="7">
        <f>VLOOKUP(G18,TABELA_IRRF,3,TRUE)*Tabela2[[#This Row],[Sal. Bruto ]]</f>
        <v>440</v>
      </c>
      <c r="J18" s="2">
        <f t="shared" si="1"/>
        <v>1375</v>
      </c>
      <c r="K18" s="2">
        <f t="shared" si="2"/>
        <v>9625</v>
      </c>
      <c r="M18" s="9">
        <f t="shared" ca="1" si="3"/>
        <v>74256175</v>
      </c>
      <c r="N18" s="17">
        <f ca="1">Tabela4[[#This Row],[Crachá]]</f>
        <v>74256175</v>
      </c>
    </row>
    <row r="19" spans="1:14" x14ac:dyDescent="0.25">
      <c r="A19" t="str">
        <f>TRIM(CONCATENATE(PROPER(Funcionários!B15)," ",Funcionários!C15," ",PROPER((Funcionários!A15))))</f>
        <v>Antonia de Marinho</v>
      </c>
      <c r="B19" s="18">
        <v>2</v>
      </c>
      <c r="C19" t="str">
        <f>IF(OR(B19&lt;1,B19&gt;15),"ERRO!!!",VLOOKUP(B19,Cargos!A$3:C$8,2,FALSE))</f>
        <v>Auxiliar de Contabilidade</v>
      </c>
      <c r="D19">
        <f>IF(OR(B19&lt;1,B19&gt;15),"",VLOOKUP(B19,Cargos!A$3:C$8,3,FALSE))</f>
        <v>6</v>
      </c>
      <c r="E19" s="2">
        <f>IFERROR(VLOOKUP(B19,Cargos!A$3:C$8,3,FALSE)*B$3,"")</f>
        <v>6600</v>
      </c>
      <c r="F19" s="2">
        <f>VLOOKUP(D19,TABELA_INSS,3,TRUE)*Tabela2[[#This Row],[Sal. Bruto ]]</f>
        <v>462.00000000000006</v>
      </c>
      <c r="G19" s="18">
        <v>2</v>
      </c>
      <c r="H19" s="2">
        <f t="shared" si="0"/>
        <v>275</v>
      </c>
      <c r="I19" s="7">
        <f>VLOOKUP(G19,TABELA_IRRF,3,TRUE)*Tabela2[[#This Row],[Sal. Bruto ]]</f>
        <v>264</v>
      </c>
      <c r="J19" s="2">
        <f t="shared" si="1"/>
        <v>726</v>
      </c>
      <c r="K19" s="2">
        <f t="shared" si="2"/>
        <v>5874</v>
      </c>
      <c r="M19" s="9">
        <f t="shared" ca="1" si="3"/>
        <v>18967280</v>
      </c>
      <c r="N19" s="17">
        <f ca="1">Tabela4[[#This Row],[Crachá]]</f>
        <v>18967280</v>
      </c>
    </row>
    <row r="20" spans="1:14" x14ac:dyDescent="0.25">
      <c r="A20" t="str">
        <f>TRIM(CONCATENATE(PROPER(Funcionários!B16)," ",Funcionários!C16," ",PROPER((Funcionários!A16))))</f>
        <v>Josefa de Malaquias</v>
      </c>
      <c r="B20" s="18">
        <v>3</v>
      </c>
      <c r="C20" t="str">
        <f>IF(OR(B20&lt;1,B20&gt;15),"ERRO!!!",VLOOKUP(B20,Cargos!A$3:C$8,2,FALSE))</f>
        <v>Chefe de Cobrança</v>
      </c>
      <c r="D20">
        <f>IF(OR(B20&lt;1,B20&gt;15),"",VLOOKUP(B20,Cargos!A$3:C$8,3,FALSE))</f>
        <v>15</v>
      </c>
      <c r="E20" s="2">
        <f>IFERROR(VLOOKUP(B20,Cargos!A$3:C$8,3,FALSE)*B$3,"")</f>
        <v>16500</v>
      </c>
      <c r="F20" s="2">
        <f>VLOOKUP(D20,TABELA_INSS,3,TRUE)*Tabela2[[#This Row],[Sal. Bruto ]]</f>
        <v>1650</v>
      </c>
      <c r="G20" s="18">
        <v>0</v>
      </c>
      <c r="H20" s="2">
        <f t="shared" si="0"/>
        <v>0</v>
      </c>
      <c r="I20" s="7">
        <f>VLOOKUP(G20,TABELA_IRRF,3,TRUE)*Tabela2[[#This Row],[Sal. Bruto ]]</f>
        <v>330</v>
      </c>
      <c r="J20" s="2">
        <f t="shared" si="1"/>
        <v>1980</v>
      </c>
      <c r="K20" s="2">
        <f t="shared" si="2"/>
        <v>14520</v>
      </c>
      <c r="M20" s="9">
        <f t="shared" ca="1" si="3"/>
        <v>63936213</v>
      </c>
      <c r="N20" s="17">
        <f ca="1">Tabela4[[#This Row],[Crachá]]</f>
        <v>63936213</v>
      </c>
    </row>
    <row r="21" spans="1:14" x14ac:dyDescent="0.25">
      <c r="A21" t="str">
        <f>TRIM(CONCATENATE(PROPER(Funcionários!B17)," ",Funcionários!C17," ",PROPER((Funcionários!A17))))</f>
        <v>Sonia Silva</v>
      </c>
      <c r="B21" s="18">
        <v>6</v>
      </c>
      <c r="C21" t="str">
        <f>IF(OR(B21&lt;1,B21&gt;15),"ERRO!!!",VLOOKUP(B21,Cargos!A$3:C$8,2,FALSE))</f>
        <v>Diretor de Divisão</v>
      </c>
      <c r="D21">
        <f>IF(OR(B21&lt;1,B21&gt;15),"",VLOOKUP(B21,Cargos!A$3:C$8,3,FALSE))</f>
        <v>20</v>
      </c>
      <c r="E21" s="2">
        <f>IFERROR(VLOOKUP(B21,Cargos!A$3:C$8,3,FALSE)*B$3,"")</f>
        <v>22000</v>
      </c>
      <c r="F21" s="2">
        <f>VLOOKUP(D21,TABELA_INSS,3,TRUE)*Tabela2[[#This Row],[Sal. Bruto ]]</f>
        <v>2200</v>
      </c>
      <c r="G21" s="18">
        <v>1</v>
      </c>
      <c r="H21" s="2">
        <f t="shared" si="0"/>
        <v>137.5</v>
      </c>
      <c r="I21" s="7">
        <f>VLOOKUP(G21,TABELA_IRRF,3,TRUE)*Tabela2[[#This Row],[Sal. Bruto ]]</f>
        <v>440</v>
      </c>
      <c r="J21" s="2">
        <f t="shared" si="1"/>
        <v>2640</v>
      </c>
      <c r="K21" s="2">
        <f t="shared" si="2"/>
        <v>19360</v>
      </c>
      <c r="M21" s="11">
        <f t="shared" ca="1" si="3"/>
        <v>20689371</v>
      </c>
      <c r="N21" s="17">
        <f ca="1">Tabela4[[#This Row],[Crachá]]</f>
        <v>20689371</v>
      </c>
    </row>
    <row r="22" spans="1:14" x14ac:dyDescent="0.25">
      <c r="A22" s="1" t="s">
        <v>26</v>
      </c>
      <c r="D22" t="str">
        <f>IF(OR(B22&lt;1,B22&gt;15),"",VLOOKUP(B22,Cargos!A$3:C$8,3,FALSE))</f>
        <v/>
      </c>
      <c r="E22" s="6">
        <f>SUM(SalariosBrutos)</f>
        <v>211200</v>
      </c>
      <c r="F22" s="2">
        <f>SUM(INSSs)</f>
        <v>19701</v>
      </c>
      <c r="H22" s="2">
        <f>SUM(H6:H21)</f>
        <v>3162.5</v>
      </c>
      <c r="I22" s="2">
        <f>SUM(I6:I21)</f>
        <v>6182</v>
      </c>
      <c r="J22" s="2">
        <f>SUM(J6:J21)</f>
        <v>25883</v>
      </c>
      <c r="K22" s="6">
        <f>SUM(SalariosLiquidos)</f>
        <v>185317</v>
      </c>
    </row>
    <row r="23" spans="1:14" x14ac:dyDescent="0.25">
      <c r="A23" s="1" t="s">
        <v>13</v>
      </c>
      <c r="D23" t="str">
        <f>IF(OR(B23&lt;1,B23&gt;15),"",VLOOKUP(B23,Cargos!A$3:C$8,3,FALSE))</f>
        <v/>
      </c>
      <c r="E23" s="2">
        <f>AVERAGE(E6:E21)</f>
        <v>13200</v>
      </c>
      <c r="F23" s="2">
        <f>AVERAGE(F6:F21)</f>
        <v>1231.3125</v>
      </c>
      <c r="H23" s="2">
        <f>AVERAGE(H6:H21)</f>
        <v>197.65625</v>
      </c>
      <c r="I23" s="2">
        <f>AVERAGE(I6:I21)</f>
        <v>386.375</v>
      </c>
      <c r="J23" s="2">
        <f>AVERAGE(J6:J21)</f>
        <v>1617.6875</v>
      </c>
      <c r="K23" s="2">
        <f>AVERAGE(K6:K21)</f>
        <v>11582.3125</v>
      </c>
    </row>
    <row r="24" spans="1:14" x14ac:dyDescent="0.25">
      <c r="A24" s="1" t="s">
        <v>12</v>
      </c>
      <c r="D24" t="str">
        <f>IF(OR(B24&lt;1,B24&gt;15),"",VLOOKUP(B24,Cargos!A$3:C$8,3,FALSE))</f>
        <v/>
      </c>
      <c r="E24" s="2">
        <f>MAX(E6:E21)</f>
        <v>22000</v>
      </c>
      <c r="F24" s="2">
        <f>MAX(F6:F21)</f>
        <v>2200</v>
      </c>
      <c r="H24" s="2">
        <f>MAX(H6:H21)</f>
        <v>550</v>
      </c>
      <c r="I24" s="2">
        <f>MAX(I6:I21)</f>
        <v>880</v>
      </c>
      <c r="J24" s="2">
        <f>MAX(J6:J21)</f>
        <v>3080</v>
      </c>
      <c r="K24" s="2">
        <f>MAX(K6:K21)</f>
        <v>19360</v>
      </c>
    </row>
    <row r="25" spans="1:14" x14ac:dyDescent="0.25">
      <c r="A25" s="1" t="s">
        <v>11</v>
      </c>
      <c r="D25" t="str">
        <f>IF(OR(B25&lt;1,B25&gt;15),"",VLOOKUP(B25,Cargos!A$3:C$8,3,FALSE))</f>
        <v/>
      </c>
      <c r="E25" s="2">
        <f>MIN(E6:E21)</f>
        <v>6600</v>
      </c>
      <c r="F25" s="2">
        <f>MIN(F6:F21)</f>
        <v>462.00000000000006</v>
      </c>
      <c r="H25" s="2">
        <f>MIN(H6:H21)</f>
        <v>0</v>
      </c>
      <c r="I25" s="2">
        <f>MIN(I6:I21)</f>
        <v>132</v>
      </c>
      <c r="J25" s="2">
        <f>MIN(J6:J21)</f>
        <v>594</v>
      </c>
      <c r="K25" s="2">
        <f>MIN(K6:K21)</f>
        <v>5874</v>
      </c>
    </row>
  </sheetData>
  <sheetProtection sheet="1" objects="1" scenarios="1" selectLockedCells="1"/>
  <mergeCells count="1">
    <mergeCell ref="A1:K1"/>
  </mergeCells>
  <conditionalFormatting sqref="E6:E21">
    <cfRule type="cellIs" dxfId="22" priority="1" operator="greaterThan">
      <formula>13200</formula>
    </cfRule>
  </conditionalFormatting>
  <dataValidations xWindow="863" yWindow="362" count="1">
    <dataValidation type="custom" allowBlank="1" showInputMessage="1" showErrorMessage="1" error="O resultado da mutiplicação entre número de dependentes e o salário família é maior que 10% do salário bruto" prompt="O resultado da mutiplicação entre número de dependentes e o salário família deve ser menor que 10% do salário bruto" sqref="G6:G21">
      <formula1>H6&lt;E6*0.1</formula1>
    </dataValidation>
  </dataValidation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863" yWindow="362" count="1">
        <x14:dataValidation type="list" errorStyle="warning" allowBlank="1" showInputMessage="1" showErrorMessage="1" error="Código inválido" prompt="Selecione um código">
          <x14:formula1>
            <xm:f>Cargos!$A$3:$A$8</xm:f>
          </x14:formula1>
          <xm:sqref>B6:B21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3" sqref="C3"/>
    </sheetView>
  </sheetViews>
  <sheetFormatPr defaultRowHeight="15" x14ac:dyDescent="0.25"/>
  <cols>
    <col min="1" max="1" width="14.140625" customWidth="1"/>
    <col min="2" max="2" width="26.140625" customWidth="1"/>
    <col min="3" max="3" width="15.140625" customWidth="1"/>
  </cols>
  <sheetData>
    <row r="1" spans="1:3" x14ac:dyDescent="0.25">
      <c r="A1" s="8" t="s">
        <v>29</v>
      </c>
      <c r="B1" s="8" t="s">
        <v>2</v>
      </c>
      <c r="C1" s="8" t="s">
        <v>69</v>
      </c>
    </row>
    <row r="2" spans="1:3" x14ac:dyDescent="0.25">
      <c r="A2" s="8">
        <v>3</v>
      </c>
      <c r="B2" s="8" t="str">
        <f>VLOOKUP(A2,Cargos!A3:C82,2,FALSE)</f>
        <v>Chefe de Cobrança</v>
      </c>
      <c r="C2" s="13">
        <f>DSUM(TAB_FUNC,Tabela2[[#Headers],[Sal. Bruto ]],Tabela5[[#All],[Cód.Cargo]:[Cargo]])</f>
        <v>49500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38</v>
      </c>
      <c r="B1" s="1" t="s">
        <v>37</v>
      </c>
      <c r="C1" s="1" t="s">
        <v>47</v>
      </c>
    </row>
    <row r="2" spans="1:3" x14ac:dyDescent="0.25">
      <c r="A2" t="s">
        <v>31</v>
      </c>
      <c r="B2" t="s">
        <v>48</v>
      </c>
      <c r="C2" t="s">
        <v>39</v>
      </c>
    </row>
    <row r="3" spans="1:3" x14ac:dyDescent="0.25">
      <c r="A3" t="s">
        <v>32</v>
      </c>
      <c r="B3" t="s">
        <v>65</v>
      </c>
    </row>
    <row r="4" spans="1:3" x14ac:dyDescent="0.25">
      <c r="A4" t="s">
        <v>58</v>
      </c>
      <c r="B4" t="s">
        <v>43</v>
      </c>
      <c r="C4" t="s">
        <v>39</v>
      </c>
    </row>
    <row r="5" spans="1:3" x14ac:dyDescent="0.25">
      <c r="A5" t="s">
        <v>59</v>
      </c>
      <c r="B5" t="s">
        <v>49</v>
      </c>
    </row>
    <row r="6" spans="1:3" x14ac:dyDescent="0.25">
      <c r="A6" t="s">
        <v>34</v>
      </c>
      <c r="B6" t="s">
        <v>50</v>
      </c>
    </row>
    <row r="7" spans="1:3" x14ac:dyDescent="0.25">
      <c r="A7" t="s">
        <v>35</v>
      </c>
      <c r="B7" t="s">
        <v>51</v>
      </c>
      <c r="C7" t="s">
        <v>39</v>
      </c>
    </row>
    <row r="8" spans="1:3" x14ac:dyDescent="0.25">
      <c r="A8" t="s">
        <v>60</v>
      </c>
      <c r="B8" t="s">
        <v>64</v>
      </c>
    </row>
    <row r="9" spans="1:3" x14ac:dyDescent="0.25">
      <c r="A9" t="s">
        <v>32</v>
      </c>
      <c r="B9" t="s">
        <v>41</v>
      </c>
      <c r="C9" t="s">
        <v>40</v>
      </c>
    </row>
    <row r="10" spans="1:3" x14ac:dyDescent="0.25">
      <c r="A10" t="s">
        <v>62</v>
      </c>
      <c r="B10" t="s">
        <v>45</v>
      </c>
      <c r="C10" t="s">
        <v>39</v>
      </c>
    </row>
    <row r="11" spans="1:3" x14ac:dyDescent="0.25">
      <c r="A11" t="s">
        <v>61</v>
      </c>
      <c r="B11" t="s">
        <v>56</v>
      </c>
    </row>
    <row r="12" spans="1:3" x14ac:dyDescent="0.25">
      <c r="A12" t="s">
        <v>57</v>
      </c>
      <c r="B12" t="s">
        <v>42</v>
      </c>
      <c r="C12" t="s">
        <v>40</v>
      </c>
    </row>
    <row r="13" spans="1:3" x14ac:dyDescent="0.25">
      <c r="A13" t="s">
        <v>33</v>
      </c>
      <c r="B13" t="s">
        <v>46</v>
      </c>
      <c r="C13" t="s">
        <v>39</v>
      </c>
    </row>
    <row r="14" spans="1:3" x14ac:dyDescent="0.25">
      <c r="A14" t="s">
        <v>35</v>
      </c>
      <c r="B14" t="s">
        <v>52</v>
      </c>
      <c r="C14" t="s">
        <v>39</v>
      </c>
    </row>
    <row r="15" spans="1:3" x14ac:dyDescent="0.25">
      <c r="A15" t="s">
        <v>63</v>
      </c>
      <c r="B15" t="s">
        <v>53</v>
      </c>
      <c r="C15" t="s">
        <v>39</v>
      </c>
    </row>
    <row r="16" spans="1:3" x14ac:dyDescent="0.25">
      <c r="A16" t="s">
        <v>36</v>
      </c>
      <c r="B16" t="s">
        <v>54</v>
      </c>
      <c r="C16" t="s">
        <v>39</v>
      </c>
    </row>
    <row r="17" spans="1:2" x14ac:dyDescent="0.25">
      <c r="A17" t="s">
        <v>32</v>
      </c>
      <c r="B17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C3" sqref="C3:C8"/>
    </sheetView>
  </sheetViews>
  <sheetFormatPr defaultRowHeight="15" x14ac:dyDescent="0.25"/>
  <cols>
    <col min="2" max="2" width="21.85546875" customWidth="1"/>
    <col min="4" max="4" width="14.7109375" customWidth="1"/>
  </cols>
  <sheetData>
    <row r="1" spans="1:3" x14ac:dyDescent="0.25">
      <c r="A1" s="15" t="s">
        <v>28</v>
      </c>
      <c r="B1" s="15"/>
      <c r="C1" s="15"/>
    </row>
    <row r="2" spans="1:3" x14ac:dyDescent="0.25">
      <c r="A2" s="1" t="s">
        <v>14</v>
      </c>
      <c r="B2" s="1" t="s">
        <v>2</v>
      </c>
      <c r="C2" s="1" t="s">
        <v>66</v>
      </c>
    </row>
    <row r="3" spans="1:3" x14ac:dyDescent="0.25">
      <c r="A3">
        <v>1</v>
      </c>
      <c r="B3" t="s">
        <v>15</v>
      </c>
      <c r="C3">
        <v>10</v>
      </c>
    </row>
    <row r="4" spans="1:3" x14ac:dyDescent="0.25">
      <c r="A4">
        <v>2</v>
      </c>
      <c r="B4" t="s">
        <v>16</v>
      </c>
      <c r="C4">
        <v>6</v>
      </c>
    </row>
    <row r="5" spans="1:3" x14ac:dyDescent="0.25">
      <c r="A5">
        <v>3</v>
      </c>
      <c r="B5" t="s">
        <v>17</v>
      </c>
      <c r="C5">
        <v>15</v>
      </c>
    </row>
    <row r="6" spans="1:3" x14ac:dyDescent="0.25">
      <c r="A6">
        <v>4</v>
      </c>
      <c r="B6" t="s">
        <v>18</v>
      </c>
      <c r="C6">
        <v>7</v>
      </c>
    </row>
    <row r="7" spans="1:3" x14ac:dyDescent="0.25">
      <c r="A7">
        <v>5</v>
      </c>
      <c r="B7" t="s">
        <v>19</v>
      </c>
      <c r="C7">
        <v>13</v>
      </c>
    </row>
    <row r="8" spans="1:3" x14ac:dyDescent="0.25">
      <c r="A8">
        <v>6</v>
      </c>
      <c r="B8" t="s">
        <v>20</v>
      </c>
      <c r="C8">
        <v>20</v>
      </c>
    </row>
  </sheetData>
  <mergeCells count="1">
    <mergeCell ref="A1:C1"/>
  </mergeCells>
  <dataValidations count="2">
    <dataValidation type="textLength" errorStyle="warning" operator="lessThan" allowBlank="1" showInputMessage="1" showErrorMessage="1" error="O texto tem mais de 25 caracteres" prompt="Tamanho máximo do texto: 25 caracteres" sqref="B3:B8">
      <formula1>26</formula1>
    </dataValidation>
    <dataValidation type="whole" allowBlank="1" showInputMessage="1" showErrorMessage="1" error="O valor é menor que 1 ou maior que 20 salários mínimos" prompt="Valor entre 1 e 20 salários mínimos" sqref="C3:C8">
      <formula1>1</formula1>
      <formula2>20</formula2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A4" sqref="A4:C7"/>
    </sheetView>
  </sheetViews>
  <sheetFormatPr defaultRowHeight="15" x14ac:dyDescent="0.25"/>
  <sheetData>
    <row r="1" spans="1:3" x14ac:dyDescent="0.25">
      <c r="A1" s="15" t="s">
        <v>5</v>
      </c>
      <c r="B1" s="15"/>
      <c r="C1" s="15"/>
    </row>
    <row r="2" spans="1:3" x14ac:dyDescent="0.25">
      <c r="A2" s="15" t="s">
        <v>21</v>
      </c>
      <c r="B2" s="15"/>
      <c r="C2" s="16" t="s">
        <v>24</v>
      </c>
    </row>
    <row r="3" spans="1:3" x14ac:dyDescent="0.25">
      <c r="A3" s="3" t="s">
        <v>22</v>
      </c>
      <c r="B3" s="3" t="s">
        <v>23</v>
      </c>
      <c r="C3" s="16"/>
    </row>
    <row r="4" spans="1:3" x14ac:dyDescent="0.25">
      <c r="A4" s="4">
        <v>0</v>
      </c>
      <c r="B4" s="4">
        <v>4</v>
      </c>
      <c r="C4" s="5">
        <v>5.5E-2</v>
      </c>
    </row>
    <row r="5" spans="1:3" x14ac:dyDescent="0.25">
      <c r="A5" s="4">
        <v>5</v>
      </c>
      <c r="B5" s="4">
        <v>7</v>
      </c>
      <c r="C5" s="5">
        <v>7.0000000000000007E-2</v>
      </c>
    </row>
    <row r="6" spans="1:3" x14ac:dyDescent="0.25">
      <c r="A6" s="4">
        <v>8</v>
      </c>
      <c r="B6" s="4">
        <v>10</v>
      </c>
      <c r="C6" s="5">
        <v>8.5000000000000006E-2</v>
      </c>
    </row>
    <row r="7" spans="1:3" x14ac:dyDescent="0.25">
      <c r="A7" s="4">
        <v>11</v>
      </c>
      <c r="B7" s="4" t="s">
        <v>25</v>
      </c>
      <c r="C7" s="5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A4" sqref="A4:C11"/>
    </sheetView>
  </sheetViews>
  <sheetFormatPr defaultRowHeight="15" x14ac:dyDescent="0.25"/>
  <sheetData>
    <row r="1" spans="1:3" x14ac:dyDescent="0.25">
      <c r="A1" s="15" t="s">
        <v>27</v>
      </c>
      <c r="B1" s="15"/>
      <c r="C1" s="15"/>
    </row>
    <row r="2" spans="1:3" x14ac:dyDescent="0.25">
      <c r="A2" s="15" t="s">
        <v>68</v>
      </c>
      <c r="B2" s="15"/>
      <c r="C2" s="16" t="s">
        <v>24</v>
      </c>
    </row>
    <row r="3" spans="1:3" x14ac:dyDescent="0.25">
      <c r="A3" s="3" t="s">
        <v>22</v>
      </c>
      <c r="B3" s="3" t="s">
        <v>23</v>
      </c>
      <c r="C3" s="16"/>
    </row>
    <row r="4" spans="1:3" x14ac:dyDescent="0.25">
      <c r="A4" s="4">
        <v>0</v>
      </c>
      <c r="B4" s="4">
        <v>1</v>
      </c>
      <c r="C4" s="5">
        <v>0.02</v>
      </c>
    </row>
    <row r="5" spans="1:3" x14ac:dyDescent="0.25">
      <c r="A5" s="4">
        <v>2</v>
      </c>
      <c r="B5" s="4">
        <v>3</v>
      </c>
      <c r="C5" s="5">
        <v>0.04</v>
      </c>
    </row>
    <row r="6" spans="1:3" x14ac:dyDescent="0.25">
      <c r="A6" s="4">
        <v>4</v>
      </c>
      <c r="B6" s="4">
        <v>5</v>
      </c>
      <c r="C6" s="5">
        <v>0.06</v>
      </c>
    </row>
    <row r="7" spans="1:3" x14ac:dyDescent="0.25">
      <c r="A7" s="4">
        <v>6</v>
      </c>
      <c r="B7" s="4">
        <v>7</v>
      </c>
      <c r="C7" s="5">
        <v>0.08</v>
      </c>
    </row>
    <row r="8" spans="1:3" x14ac:dyDescent="0.25">
      <c r="A8" s="4">
        <v>8</v>
      </c>
      <c r="B8" s="4">
        <v>9</v>
      </c>
      <c r="C8" s="5">
        <v>0.1</v>
      </c>
    </row>
    <row r="9" spans="1:3" x14ac:dyDescent="0.25">
      <c r="A9" s="4">
        <v>10</v>
      </c>
      <c r="B9" s="4">
        <v>11</v>
      </c>
      <c r="C9" s="5">
        <v>0.12</v>
      </c>
    </row>
    <row r="10" spans="1:3" x14ac:dyDescent="0.25">
      <c r="A10" s="4">
        <v>12</v>
      </c>
      <c r="B10" s="4">
        <v>13</v>
      </c>
      <c r="C10" s="5">
        <v>0.14000000000000001</v>
      </c>
    </row>
    <row r="11" spans="1:3" x14ac:dyDescent="0.25">
      <c r="A11" s="4">
        <v>14</v>
      </c>
      <c r="B11" s="4" t="s">
        <v>25</v>
      </c>
      <c r="C11" s="5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9</vt:i4>
      </vt:variant>
    </vt:vector>
  </HeadingPairs>
  <TitlesOfParts>
    <vt:vector size="15" baseType="lpstr">
      <vt:lpstr>Folha de Pagamento</vt:lpstr>
      <vt:lpstr>Cargos Folha</vt:lpstr>
      <vt:lpstr>Funcionários</vt:lpstr>
      <vt:lpstr>Cargos</vt:lpstr>
      <vt:lpstr>INSS</vt:lpstr>
      <vt:lpstr>IRRF</vt:lpstr>
      <vt:lpstr>INSSs</vt:lpstr>
      <vt:lpstr>SalariosBrutos</vt:lpstr>
      <vt:lpstr>SalariosLiquidos</vt:lpstr>
      <vt:lpstr>TAB_FUNC</vt:lpstr>
      <vt:lpstr>TABELA</vt:lpstr>
      <vt:lpstr>TABELA_INSS</vt:lpstr>
      <vt:lpstr>TABELA_IRRF</vt:lpstr>
      <vt:lpstr>TABELA1</vt:lpstr>
      <vt:lpstr>TABELA3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2021-10-16T19:12:30Z</dcterms:modified>
</cp:coreProperties>
</file>