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eduardo\"/>
    </mc:Choice>
  </mc:AlternateContent>
  <bookViews>
    <workbookView xWindow="0" yWindow="0" windowWidth="28800" windowHeight="12330"/>
  </bookViews>
  <sheets>
    <sheet name="Folha de Pagamento" sheetId="1" r:id="rId1"/>
    <sheet name="Cadastro" sheetId="12" r:id="rId2"/>
    <sheet name="Cargos Folha" sheetId="10" r:id="rId3"/>
    <sheet name="Funcionários" sheetId="9" r:id="rId4"/>
    <sheet name="Cargos" sheetId="2" r:id="rId5"/>
    <sheet name="INSS" sheetId="3" state="hidden" r:id="rId6"/>
    <sheet name="IRRF" sheetId="4" state="hidden" r:id="rId7"/>
  </sheets>
  <definedNames>
    <definedName name="cotacao" localSheetId="0">'Folha de Pagamento'!$A$26:$N$41</definedName>
    <definedName name="SalariosBrutos">'Folha de Pagamento'!$E$6:$E$21</definedName>
    <definedName name="SalariosLiquidos">'Folha de Pagamento'!$K$6:$K$21</definedName>
    <definedName name="tabela1">Cargos!$A$3:$C$8</definedName>
    <definedName name="tabela3">INSS!$A$4:$C$7</definedName>
    <definedName name="tabela7">IRRF!$A$4:$C$11</definedName>
    <definedName name="tabfunc">'Folha de Pagamento'!$A$6:$K$21</definedName>
    <definedName name="tabfunc2">'Folha de Pagamento'!$A$5:$K$21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6" i="1"/>
  <c r="D6" i="1" s="1"/>
  <c r="R45" i="1" l="1"/>
  <c r="E7" i="1"/>
  <c r="F7" i="1" s="1"/>
  <c r="E8" i="1"/>
  <c r="F8" i="1" s="1"/>
  <c r="E9" i="1"/>
  <c r="F9" i="1" s="1"/>
  <c r="E10" i="1"/>
  <c r="I10" i="1" s="1"/>
  <c r="E11" i="1"/>
  <c r="F11" i="1" s="1"/>
  <c r="E12" i="1"/>
  <c r="I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I18" i="1" s="1"/>
  <c r="E19" i="1"/>
  <c r="F19" i="1" s="1"/>
  <c r="E20" i="1"/>
  <c r="F20" i="1" s="1"/>
  <c r="E21" i="1"/>
  <c r="F21" i="1" s="1"/>
  <c r="E6" i="1"/>
  <c r="F6" i="1" s="1"/>
  <c r="E3" i="1"/>
  <c r="B2" i="10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6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I14" i="1" l="1"/>
  <c r="J14" i="1" s="1"/>
  <c r="K14" i="1" s="1"/>
  <c r="I20" i="1"/>
  <c r="J20" i="1" s="1"/>
  <c r="K20" i="1" s="1"/>
  <c r="F10" i="1"/>
  <c r="J10" i="1" s="1"/>
  <c r="K10" i="1" s="1"/>
  <c r="I6" i="1"/>
  <c r="J6" i="1" s="1"/>
  <c r="K6" i="1" s="1"/>
  <c r="I7" i="1"/>
  <c r="J7" i="1" s="1"/>
  <c r="K7" i="1" s="1"/>
  <c r="H24" i="1"/>
  <c r="I16" i="1"/>
  <c r="J16" i="1" s="1"/>
  <c r="K16" i="1" s="1"/>
  <c r="C2" i="10"/>
  <c r="I8" i="1"/>
  <c r="J8" i="1" s="1"/>
  <c r="K8" i="1" s="1"/>
  <c r="I21" i="1"/>
  <c r="J21" i="1" s="1"/>
  <c r="K21" i="1" s="1"/>
  <c r="I19" i="1"/>
  <c r="J19" i="1" s="1"/>
  <c r="K19" i="1" s="1"/>
  <c r="I15" i="1"/>
  <c r="J15" i="1" s="1"/>
  <c r="K15" i="1" s="1"/>
  <c r="I13" i="1"/>
  <c r="J13" i="1" s="1"/>
  <c r="K13" i="1" s="1"/>
  <c r="I9" i="1"/>
  <c r="J9" i="1" s="1"/>
  <c r="K9" i="1" s="1"/>
  <c r="H22" i="1"/>
  <c r="E22" i="1"/>
  <c r="S47" i="1" s="1"/>
  <c r="H23" i="1"/>
  <c r="F18" i="1"/>
  <c r="J18" i="1" s="1"/>
  <c r="K18" i="1" s="1"/>
  <c r="F12" i="1"/>
  <c r="J12" i="1" s="1"/>
  <c r="K12" i="1" s="1"/>
  <c r="I17" i="1"/>
  <c r="J17" i="1" s="1"/>
  <c r="K17" i="1" s="1"/>
  <c r="I11" i="1"/>
  <c r="E24" i="1"/>
  <c r="E23" i="1"/>
  <c r="R47" i="1" l="1"/>
  <c r="R56" i="1"/>
  <c r="T55" i="1"/>
  <c r="S51" i="1"/>
  <c r="R50" i="1"/>
  <c r="R48" i="1"/>
  <c r="T49" i="1"/>
  <c r="R51" i="1"/>
  <c r="S55" i="1"/>
  <c r="T56" i="1"/>
  <c r="T47" i="1"/>
  <c r="F24" i="1"/>
  <c r="S48" i="1"/>
  <c r="R52" i="1"/>
  <c r="T53" i="1"/>
  <c r="S56" i="1"/>
  <c r="S50" i="1"/>
  <c r="S53" i="1"/>
  <c r="S52" i="1"/>
  <c r="S54" i="1"/>
  <c r="R55" i="1"/>
  <c r="R54" i="1"/>
  <c r="F23" i="1"/>
  <c r="R53" i="1"/>
  <c r="T54" i="1"/>
  <c r="R49" i="1"/>
  <c r="U47" i="1"/>
  <c r="U49" i="1"/>
  <c r="T51" i="1"/>
  <c r="T50" i="1"/>
  <c r="T48" i="1"/>
  <c r="I24" i="1"/>
  <c r="S49" i="1"/>
  <c r="U48" i="1"/>
  <c r="T52" i="1"/>
  <c r="I23" i="1"/>
  <c r="I22" i="1"/>
  <c r="J11" i="1"/>
  <c r="K11" i="1" l="1"/>
  <c r="J24" i="1"/>
  <c r="J23" i="1"/>
  <c r="J22" i="1"/>
  <c r="K22" i="1" l="1"/>
  <c r="K23" i="1"/>
  <c r="K24" i="1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notebook/excel/cotacao.html"/>
  </connection>
</connections>
</file>

<file path=xl/sharedStrings.xml><?xml version="1.0" encoding="utf-8"?>
<sst xmlns="http://schemas.openxmlformats.org/spreadsheetml/2006/main" count="121" uniqueCount="91">
  <si>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</si>
  <si>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</si>
  <si>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</si>
  <si>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</si>
  <si>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</si>
  <si>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</si>
  <si>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</si>
  <si>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</si>
  <si>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</si>
  <si>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</si>
  <si>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</si>
  <si>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</si>
  <si>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</si>
  <si>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</si>
  <si>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</si>
  <si>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</si>
  <si>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</si>
  <si>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</si>
  <si>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</si>
  <si>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</si>
  <si>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</si>
  <si>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</si>
  <si>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</si>
  <si>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</si>
  <si>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</si>
  <si>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</si>
  <si>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</si>
  <si>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</si>
  <si>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</si>
  <si>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</si>
  <si>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</si>
  <si>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</si>
  <si>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</si>
  <si>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</si>
  <si>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</si>
  <si>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</si>
  <si>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</si>
  <si>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</si>
  <si>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</si>
  <si>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</si>
  <si>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</si>
  <si>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</si>
  <si>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</si>
  <si>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</si>
  <si>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</si>
  <si>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</si>
  <si>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</si>
  <si>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</si>
  <si>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</si>
  <si>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</si>
  <si>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</si>
  <si>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</si>
  <si>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</si>
  <si>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</si>
  <si>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</si>
  <si>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</si>
  <si>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</si>
  <si>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</si>
  <si>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</si>
  <si>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</si>
  <si>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</si>
  <si>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</si>
  <si>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</si>
  <si>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</si>
  <si>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</si>
  <si>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</si>
  <si>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</si>
  <si>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</si>
  <si>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</si>
  <si>
    <t>DÓLAR</t>
  </si>
  <si>
    <t>1. Média Mensal da Cotação do Dólar Comercial para Venda</t>
  </si>
  <si>
    <t>Em Real ( R$ 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</si>
  <si>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</si>
  <si>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</si>
  <si>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</si>
  <si>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</si>
  <si>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</si>
  <si>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</si>
  <si>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</si>
  <si>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</si>
  <si>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</si>
  <si>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</si>
  <si>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</si>
  <si>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</si>
  <si>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</t>
  </si>
  <si>
    <t>Fonte: Imprensa</t>
  </si>
  <si>
    <t>F</t>
  </si>
  <si>
    <t>Nome:</t>
  </si>
  <si>
    <t>Cargo:</t>
  </si>
  <si>
    <t>Marlon Andrei de Carvalho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</si>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</sst>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&quot;R$&quot;\ #,##0.00"/>
    <numFmt numFmtId="165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rcode font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164" fontId="0" fillId="0" borderId="0" xfId="0" applyNumberFormat="1"/>
    <xf numFmtId="44" fontId="0" fillId="0" borderId="0" xfId="1" applyFont="1"/>
    <xf numFmtId="0" fontId="0" fillId="0" borderId="0" xfId="0" applyBorder="1"/>
    <xf numFmtId="0" fontId="4" fillId="0" borderId="0" xfId="0" applyFont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" fillId="0" borderId="1" xfId="0" applyFont="1" applyBorder="1" applyAlignment="1">
      <alignment horizontal="center"/>
    </xf>
    <xf numFmtId="165" fontId="0" fillId="0" borderId="1" xfId="1" applyNumberFormat="1" applyFont="1" applyBorder="1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ont="1"/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barcode font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$A$15" fmlaRange="Cargos!$B$3:$B$8" noThreeD="1" sel="4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4</xdr:row>
          <xdr:rowOff>9525</xdr:rowOff>
        </xdr:from>
        <xdr:to>
          <xdr:col>3</xdr:col>
          <xdr:colOff>9525</xdr:colOff>
          <xdr:row>5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tacao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ela2" displayName="Tabela2" ref="A5:K24" totalsRowShown="0" headerRowDxfId="21">
  <autoFilter ref="A5:K24"/>
  <tableColumns count="11">
    <tableColumn id="1" name="Funcionário" dataDxfId="20" totalsRowDxfId="19"/>
    <tableColumn id="2" name="Cód.Cargo"/>
    <tableColumn id="3" name="Cargo" dataDxfId="18" totalsRowDxfId="17">
      <calculatedColumnFormula>IF(AND($B6&gt;=1,$B6&lt;=15),VLOOKUP($B6,tabela1,2,FALSE))</calculatedColumnFormula>
    </tableColumn>
    <tableColumn id="4" name="Nr. Sal. " dataDxfId="16" totalsRowDxfId="15">
      <calculatedColumnFormula>IF(AND($B6&gt;=1,$B6&lt;=15),VLOOKUP($B6,tabela1,3,FALSE))</calculatedColumnFormula>
    </tableColumn>
    <tableColumn id="5" name="Sal. Bruto " dataDxfId="14" totalsRowDxfId="13"/>
    <tableColumn id="6" name="INSS" dataDxfId="12" totalsRowDxfId="11"/>
    <tableColumn id="7" name="Dep."/>
    <tableColumn id="8" name="Sal. Fam. " dataDxfId="10" totalsRowDxfId="9"/>
    <tableColumn id="9" name="IRRF " dataDxfId="8" totalsRowDxfId="7"/>
    <tableColumn id="10" name="Tot. Desc. " dataDxfId="6" totalsRowDxfId="5"/>
    <tableColumn id="11" name="Sal. Líq. " dataDxfId="4" totalsRow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4" displayName="Tabela4" ref="M5:N21" totalsRowShown="0" headerRowDxfId="2">
  <autoFilter ref="M5:N21"/>
  <tableColumns count="2">
    <tableColumn id="1" name="Crachá">
      <calculatedColumnFormula>RANDBETWEEN(10000000,99999999)</calculatedColumnFormula>
    </tableColumn>
    <tableColumn id="2" name="Cód.Barra" dataDxfId="1">
      <calculatedColumnFormula>RANDBETWEEN(10000000,99999999)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5" displayName="Tabela5" ref="A1:C2" totalsRowShown="0">
  <autoFilter ref="A1:C2"/>
  <tableColumns count="3">
    <tableColumn id="1" name="Cód.Cargo"/>
    <tableColumn id="2" name="Cargo">
      <calculatedColumnFormula>VLOOKUP(A2,tabela1,2,FALSE)</calculatedColumnFormula>
    </tableColumn>
    <tableColumn id="3" name="Total Bruto" dataDxfId="0" dataCellStyle="Moeda">
      <calculatedColumnFormula>DSUM(tabfunc2,'Folha de Pagamento'!E5,A1:B2)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U60"/>
  <sheetViews>
    <sheetView tabSelected="1" zoomScaleNormal="100" workbookViewId="0">
      <selection activeCell="B30" sqref="B30"/>
    </sheetView>
  </sheetViews>
  <sheetFormatPr defaultRowHeight="15" x14ac:dyDescent="0.25"/>
  <cols>
    <col min="1" max="1" width="54.5703125" customWidth="1"/>
    <col min="2" max="2" width="12.28515625" bestFit="1" customWidth="1"/>
    <col min="3" max="3" width="23.85546875" bestFit="1" customWidth="1"/>
    <col min="4" max="4" width="6" customWidth="1"/>
    <col min="5" max="6" width="12.140625" bestFit="1" customWidth="1"/>
    <col min="7" max="7" width="6" customWidth="1"/>
    <col min="8" max="8" width="11.5703125" bestFit="1" customWidth="1"/>
    <col min="9" max="9" width="9.140625" bestFit="1" customWidth="1"/>
    <col min="10" max="10" width="12.28515625" bestFit="1" customWidth="1"/>
    <col min="11" max="11" width="11.7109375" bestFit="1" customWidth="1"/>
    <col min="12" max="12" width="6" customWidth="1"/>
    <col min="13" max="13" width="9.140625" bestFit="1" customWidth="1"/>
    <col min="14" max="14" width="6" customWidth="1"/>
    <col min="17" max="17" width="10.28515625" bestFit="1" customWidth="1"/>
    <col min="18" max="21" width="13.28515625" bestFit="1" customWidth="1"/>
  </cols>
  <sheetData>
    <row r="1" spans="1:14" x14ac:dyDescent="0.25">
      <c r="A1" s="26" t="s">
        <v>43</v>
      </c>
      <c r="B1" s="26"/>
      <c r="C1" s="26"/>
      <c r="D1" s="26"/>
      <c r="E1" s="26"/>
      <c r="F1" s="26"/>
      <c r="G1" s="26"/>
      <c r="H1" s="26"/>
      <c r="I1" s="26"/>
      <c r="J1" s="26"/>
      <c r="K1" s="26"/>
    </row>
    <row r="3" spans="1:14" x14ac:dyDescent="0.25">
      <c r="A3" t="s">
        <v>0</v>
      </c>
      <c r="B3" s="2">
        <v>1100</v>
      </c>
      <c r="D3" t="s">
        <v>29</v>
      </c>
      <c r="E3" s="12">
        <f>DATE(2021,10,16)</f>
        <v>44485</v>
      </c>
    </row>
    <row r="5" spans="1:14" x14ac:dyDescent="0.25">
      <c r="A5" s="1" t="s">
        <v>1</v>
      </c>
      <c r="B5" s="1" t="s">
        <v>28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  <c r="M5" s="9" t="s">
        <v>66</v>
      </c>
      <c r="N5" s="9" t="s">
        <v>67</v>
      </c>
    </row>
    <row r="6" spans="1:14" ht="16.5" x14ac:dyDescent="0.25">
      <c r="A6" t="str">
        <f>TRIM(CONCATENATE(PROPER(Funcionários!B2)," ",Funcionários!C2," ",PROPER((Funcionários!A2))))</f>
        <v>José Carlos de Almeida</v>
      </c>
      <c r="B6" s="11">
        <v>1</v>
      </c>
      <c r="C6" t="str">
        <f>IF(OR(B6&lt;1,B6&gt;15),"ERRO!!!",VLOOKUP(B6,Cargos!A$3:C17,2))</f>
        <v>Análista de Salários</v>
      </c>
      <c r="D6">
        <f>IF(C6="ERRO!!!",0,VLOOKUP(B6,Cargos!A$3:C$17,3))</f>
        <v>10</v>
      </c>
      <c r="E6" s="7">
        <f>B$3*D6</f>
        <v>11000</v>
      </c>
      <c r="F6" s="8">
        <f>VLOOKUP(D6,tabela3,3,TRUE)*E6</f>
        <v>935.00000000000011</v>
      </c>
      <c r="G6" s="11">
        <v>1</v>
      </c>
      <c r="H6" s="2">
        <f>IF(C6="ERRO!!!",0,B$3/8*G6)</f>
        <v>137.5</v>
      </c>
      <c r="I6" s="7">
        <f t="shared" ref="I6:I21" si="0">VLOOKUP($G6,tabela7,3,TRUE)*E6</f>
        <v>220</v>
      </c>
      <c r="J6" s="7">
        <f>Tabela2[[#This Row],[INSS]]+Tabela2[[#This Row],[IRRF ]]</f>
        <v>1155</v>
      </c>
      <c r="K6" s="7">
        <f>Tabela2[[#This Row],[Sal. Bruto ]]-Tabela2[[#This Row],[Tot. Desc. ]]</f>
        <v>9845</v>
      </c>
      <c r="M6" s="9">
        <f ca="1">RANDBETWEEN(10000000,99999999)</f>
        <v>82670215</v>
      </c>
      <c r="N6" s="10">
        <f ca="1">RANDBETWEEN(10000000,99999999)</f>
        <v>41892653</v>
      </c>
    </row>
    <row r="7" spans="1:14" ht="16.5" x14ac:dyDescent="0.25">
      <c r="A7" t="str">
        <f>TRIM(CONCATENATE(PROPER(Funcionários!B3)," ",Funcionários!C3," ",PROPER((Funcionários!A3))))</f>
        <v>Marisa Abreu Silva</v>
      </c>
      <c r="B7" s="11">
        <v>2</v>
      </c>
      <c r="C7" t="str">
        <f>IF(OR(B7&lt;1,B7&gt;15),"ERRO!!!",VLOOKUP(B7,Cargos!A$3:C18,2))</f>
        <v>Auxiliar de Contabilidade</v>
      </c>
      <c r="D7">
        <f>IF(C7="ERRO!!!",0,VLOOKUP(B7,Cargos!A$3:C$17,3))</f>
        <v>6</v>
      </c>
      <c r="E7" s="7">
        <f t="shared" ref="E7:E21" si="1">B$3*D7</f>
        <v>6600</v>
      </c>
      <c r="F7" s="8">
        <f>VLOOKUP(D7,INSS!$A$4:$C$7,3,TRUE)*E7</f>
        <v>462.00000000000006</v>
      </c>
      <c r="G7" s="11">
        <v>2</v>
      </c>
      <c r="H7" s="2">
        <f t="shared" ref="H7:H21" si="2">IF(C7="ERRO!!!",0,B$3/8*G7)</f>
        <v>275</v>
      </c>
      <c r="I7" s="7">
        <f t="shared" si="0"/>
        <v>264</v>
      </c>
      <c r="J7" s="7">
        <f>Tabela2[[#This Row],[INSS]]+Tabela2[[#This Row],[IRRF ]]</f>
        <v>726</v>
      </c>
      <c r="K7" s="7">
        <f>Tabela2[[#This Row],[Sal. Bruto ]]-Tabela2[[#This Row],[Tot. Desc. ]]</f>
        <v>5874</v>
      </c>
      <c r="M7" s="9">
        <f t="shared" ref="M7:N21" ca="1" si="3">RANDBETWEEN(10000000,99999999)</f>
        <v>19607188</v>
      </c>
      <c r="N7" s="10">
        <f t="shared" ca="1" si="3"/>
        <v>90065330</v>
      </c>
    </row>
    <row r="8" spans="1:14" ht="16.5" x14ac:dyDescent="0.25">
      <c r="A8" t="str">
        <f>TRIM(CONCATENATE(PROPER(Funcionários!B4)," ",Funcionários!C4," ",PROPER((Funcionários!A4))))</f>
        <v>Pedro de Almeida</v>
      </c>
      <c r="B8" s="11">
        <v>3</v>
      </c>
      <c r="C8" t="str">
        <f>IF(OR(B8&lt;1,B8&gt;15),"ERRO!!!",VLOOKUP(B8,Cargos!A$3:C19,2))</f>
        <v>Chefe de Cobrança</v>
      </c>
      <c r="D8">
        <f>IF(C8="ERRO!!!",0,VLOOKUP(B8,Cargos!A$3:C$17,3))</f>
        <v>15</v>
      </c>
      <c r="E8" s="7">
        <f t="shared" si="1"/>
        <v>16500</v>
      </c>
      <c r="F8" s="8">
        <f>VLOOKUP(D8,INSS!$A$4:$C$7,3,TRUE)*E8</f>
        <v>1650</v>
      </c>
      <c r="G8" s="11">
        <v>3</v>
      </c>
      <c r="H8" s="2">
        <f t="shared" si="2"/>
        <v>412.5</v>
      </c>
      <c r="I8" s="7">
        <f t="shared" si="0"/>
        <v>660</v>
      </c>
      <c r="J8" s="7">
        <f>Tabela2[[#This Row],[INSS]]+Tabela2[[#This Row],[IRRF ]]</f>
        <v>2310</v>
      </c>
      <c r="K8" s="7">
        <f>Tabela2[[#This Row],[Sal. Bruto ]]-Tabela2[[#This Row],[Tot. Desc. ]]</f>
        <v>14190</v>
      </c>
      <c r="M8" s="9">
        <f t="shared" ca="1" si="3"/>
        <v>81595352</v>
      </c>
      <c r="N8" s="10">
        <f t="shared" ca="1" si="3"/>
        <v>42633326</v>
      </c>
    </row>
    <row r="9" spans="1:14" ht="16.5" x14ac:dyDescent="0.25">
      <c r="A9" t="str">
        <f>TRIM(CONCATENATE(PROPER(Funcionários!B5)," ",Funcionários!C5," ",PROPER((Funcionários!A5))))</f>
        <v>Vera Jesus</v>
      </c>
      <c r="B9" s="11">
        <v>4</v>
      </c>
      <c r="C9" t="str">
        <f>IF(OR(B9&lt;1,B9&gt;15),"ERRO!!!",VLOOKUP(B9,Cargos!A$3:C20,2))</f>
        <v>Chefe de Expedição</v>
      </c>
      <c r="D9">
        <f>IF(C9="ERRO!!!",0,VLOOKUP(B9,Cargos!A$3:C$17,3))</f>
        <v>7</v>
      </c>
      <c r="E9" s="7">
        <f t="shared" si="1"/>
        <v>7700</v>
      </c>
      <c r="F9" s="8">
        <f>VLOOKUP(D9,INSS!$A$4:$C$7,3,TRUE)*E9</f>
        <v>539</v>
      </c>
      <c r="G9" s="11">
        <v>0</v>
      </c>
      <c r="H9" s="2">
        <f t="shared" si="2"/>
        <v>0</v>
      </c>
      <c r="I9" s="7">
        <f t="shared" si="0"/>
        <v>154</v>
      </c>
      <c r="J9" s="7">
        <f>Tabela2[[#This Row],[INSS]]+Tabela2[[#This Row],[IRRF ]]</f>
        <v>693</v>
      </c>
      <c r="K9" s="7">
        <f>Tabela2[[#This Row],[Sal. Bruto ]]-Tabela2[[#This Row],[Tot. Desc. ]]</f>
        <v>7007</v>
      </c>
      <c r="M9" s="9">
        <f t="shared" ca="1" si="3"/>
        <v>69005673</v>
      </c>
      <c r="N9" s="10">
        <f t="shared" ca="1" si="3"/>
        <v>97920509</v>
      </c>
    </row>
    <row r="10" spans="1:14" ht="16.5" x14ac:dyDescent="0.25">
      <c r="A10" t="str">
        <f>TRIM(CONCATENATE(PROPER(Funcionários!B6)," ",Funcionários!C6," ",PROPER((Funcionários!A6))))</f>
        <v>Mario Paulo Simões</v>
      </c>
      <c r="B10" s="11">
        <v>5</v>
      </c>
      <c r="C10" t="str">
        <f>IF(OR(B10&lt;1,B10&gt;15),"ERRO!!!",VLOOKUP(B10,Cargos!A$3:C21,2))</f>
        <v>Contador</v>
      </c>
      <c r="D10">
        <f>IF(C10="ERRO!!!",0,VLOOKUP(B10,Cargos!A$3:C$17,3))</f>
        <v>13</v>
      </c>
      <c r="E10" s="7">
        <f t="shared" si="1"/>
        <v>14300</v>
      </c>
      <c r="F10" s="8">
        <f>VLOOKUP(D10,INSS!$A$4:$C$7,3,TRUE)*E10</f>
        <v>1430</v>
      </c>
      <c r="G10" s="11">
        <v>0</v>
      </c>
      <c r="H10" s="2">
        <f t="shared" si="2"/>
        <v>0</v>
      </c>
      <c r="I10" s="7">
        <f t="shared" si="0"/>
        <v>286</v>
      </c>
      <c r="J10" s="7">
        <f>Tabela2[[#This Row],[INSS]]+Tabela2[[#This Row],[IRRF ]]</f>
        <v>1716</v>
      </c>
      <c r="K10" s="7">
        <f>Tabela2[[#This Row],[Sal. Bruto ]]-Tabela2[[#This Row],[Tot. Desc. ]]</f>
        <v>12584</v>
      </c>
      <c r="M10" s="9">
        <f t="shared" ca="1" si="3"/>
        <v>81915520</v>
      </c>
      <c r="N10" s="10">
        <f t="shared" ca="1" si="3"/>
        <v>49358904</v>
      </c>
    </row>
    <row r="11" spans="1:14" ht="16.5" x14ac:dyDescent="0.25">
      <c r="A11" t="str">
        <f>TRIM(CONCATENATE(PROPER(Funcionários!B7)," ",Funcionários!C7," ",PROPER((Funcionários!A7))))</f>
        <v>Sheila Maria de Souza</v>
      </c>
      <c r="B11" s="11">
        <v>6</v>
      </c>
      <c r="C11" t="str">
        <f>IF(OR(B11&lt;1,B11&gt;15),"ERRO!!!",VLOOKUP(B11,Cargos!A$3:C22,2))</f>
        <v>Diretor de Divisão</v>
      </c>
      <c r="D11">
        <f>IF(C11="ERRO!!!",0,VLOOKUP(B11,Cargos!A$3:C$17,3))</f>
        <v>20</v>
      </c>
      <c r="E11" s="7">
        <f t="shared" si="1"/>
        <v>22000</v>
      </c>
      <c r="F11" s="8">
        <f>VLOOKUP(D11,INSS!$A$4:$C$7,3,TRUE)*E11</f>
        <v>2200</v>
      </c>
      <c r="G11" s="11">
        <v>3</v>
      </c>
      <c r="H11" s="2">
        <f t="shared" si="2"/>
        <v>412.5</v>
      </c>
      <c r="I11" s="7">
        <f t="shared" si="0"/>
        <v>880</v>
      </c>
      <c r="J11" s="7">
        <f>Tabela2[[#This Row],[INSS]]+Tabela2[[#This Row],[IRRF ]]</f>
        <v>3080</v>
      </c>
      <c r="K11" s="7">
        <f>Tabela2[[#This Row],[Sal. Bruto ]]-Tabela2[[#This Row],[Tot. Desc. ]]</f>
        <v>18920</v>
      </c>
      <c r="M11" s="9">
        <f t="shared" ca="1" si="3"/>
        <v>29856810</v>
      </c>
      <c r="N11" s="10">
        <f t="shared" ca="1" si="3"/>
        <v>35831424</v>
      </c>
    </row>
    <row r="12" spans="1:14" ht="16.5" x14ac:dyDescent="0.25">
      <c r="A12" t="str">
        <f>TRIM(CONCATENATE(PROPER(Funcionários!B8)," ",Funcionários!C8," ",PROPER((Funcionários!A8))))</f>
        <v>Maria Lourdes Garcia</v>
      </c>
      <c r="B12" s="11">
        <v>5</v>
      </c>
      <c r="C12" t="str">
        <f>IF(OR(B12&lt;1,B12&gt;15),"ERRO!!!",VLOOKUP(B12,Cargos!A$3:C23,2))</f>
        <v>Contador</v>
      </c>
      <c r="D12">
        <f>IF(C12="ERRO!!!",0,VLOOKUP(B12,Cargos!A$3:C$17,3))</f>
        <v>13</v>
      </c>
      <c r="E12" s="7">
        <f t="shared" si="1"/>
        <v>14300</v>
      </c>
      <c r="F12" s="8">
        <f>VLOOKUP(D12,INSS!$A$4:$C$7,3,TRUE)*E12</f>
        <v>1430</v>
      </c>
      <c r="G12" s="11">
        <v>4</v>
      </c>
      <c r="H12" s="2">
        <f t="shared" si="2"/>
        <v>550</v>
      </c>
      <c r="I12" s="7">
        <f t="shared" si="0"/>
        <v>858</v>
      </c>
      <c r="J12" s="7">
        <f>Tabela2[[#This Row],[INSS]]+Tabela2[[#This Row],[IRRF ]]</f>
        <v>2288</v>
      </c>
      <c r="K12" s="7">
        <f>Tabela2[[#This Row],[Sal. Bruto ]]-Tabela2[[#This Row],[Tot. Desc. ]]</f>
        <v>12012</v>
      </c>
      <c r="M12" s="9">
        <f t="shared" ca="1" si="3"/>
        <v>74509992</v>
      </c>
      <c r="N12" s="10">
        <f t="shared" ca="1" si="3"/>
        <v>30398596</v>
      </c>
    </row>
    <row r="13" spans="1:14" ht="16.5" x14ac:dyDescent="0.25">
      <c r="A13" t="str">
        <f>TRIM(CONCATENATE(PROPER(Funcionários!B9)," ",Funcionários!C9," ",PROPER((Funcionários!A9))))</f>
        <v>Juliana da Silva</v>
      </c>
      <c r="B13" s="11">
        <v>6</v>
      </c>
      <c r="C13" t="str">
        <f>IF(OR(B13&lt;1,B13&gt;15),"ERRO!!!",VLOOKUP(B13,Cargos!A$3:C24,2))</f>
        <v>Diretor de Divisão</v>
      </c>
      <c r="D13">
        <f>IF(C13="ERRO!!!",0,VLOOKUP(B13,Cargos!A$3:C$17,3))</f>
        <v>20</v>
      </c>
      <c r="E13" s="7">
        <f t="shared" si="1"/>
        <v>22000</v>
      </c>
      <c r="F13" s="8">
        <f>VLOOKUP(D13,INSS!$A$4:$C$7,3,TRUE)*E13</f>
        <v>2200</v>
      </c>
      <c r="G13" s="11">
        <v>0</v>
      </c>
      <c r="H13" s="2">
        <f t="shared" si="2"/>
        <v>0</v>
      </c>
      <c r="I13" s="7">
        <f t="shared" si="0"/>
        <v>440</v>
      </c>
      <c r="J13" s="7">
        <f>Tabela2[[#This Row],[INSS]]+Tabela2[[#This Row],[IRRF ]]</f>
        <v>2640</v>
      </c>
      <c r="K13" s="7">
        <f>Tabela2[[#This Row],[Sal. Bruto ]]-Tabela2[[#This Row],[Tot. Desc. ]]</f>
        <v>19360</v>
      </c>
      <c r="M13" s="9">
        <f t="shared" ca="1" si="3"/>
        <v>85206171</v>
      </c>
      <c r="N13" s="10">
        <f t="shared" ca="1" si="3"/>
        <v>85289570</v>
      </c>
    </row>
    <row r="14" spans="1:14" ht="16.5" x14ac:dyDescent="0.25">
      <c r="A14" t="str">
        <f>TRIM(CONCATENATE(PROPER(Funcionários!B10)," ",Funcionários!C10," ",PROPER((Funcionários!A10))))</f>
        <v>Mario Antonio de Abreu</v>
      </c>
      <c r="B14" s="11">
        <v>2</v>
      </c>
      <c r="C14" t="str">
        <f>IF(OR(B14&lt;1,B14&gt;15),"ERRO!!!",VLOOKUP(B14,Cargos!A$3:C25,2))</f>
        <v>Auxiliar de Contabilidade</v>
      </c>
      <c r="D14">
        <f>IF(C14="ERRO!!!",0,VLOOKUP(B14,Cargos!A$3:C$17,3))</f>
        <v>6</v>
      </c>
      <c r="E14" s="7">
        <f t="shared" si="1"/>
        <v>6600</v>
      </c>
      <c r="F14" s="8">
        <f>VLOOKUP(D14,INSS!$A$4:$C$7,3,TRUE)*E14</f>
        <v>462.00000000000006</v>
      </c>
      <c r="G14" s="11">
        <v>2</v>
      </c>
      <c r="H14" s="2">
        <f t="shared" si="2"/>
        <v>275</v>
      </c>
      <c r="I14" s="7">
        <f t="shared" si="0"/>
        <v>264</v>
      </c>
      <c r="J14" s="7">
        <f>Tabela2[[#This Row],[INSS]]+Tabela2[[#This Row],[IRRF ]]</f>
        <v>726</v>
      </c>
      <c r="K14" s="7">
        <f>Tabela2[[#This Row],[Sal. Bruto ]]-Tabela2[[#This Row],[Tot. Desc. ]]</f>
        <v>5874</v>
      </c>
      <c r="M14" s="9">
        <f t="shared" ca="1" si="3"/>
        <v>24561034</v>
      </c>
      <c r="N14" s="10">
        <f t="shared" ca="1" si="3"/>
        <v>84028774</v>
      </c>
    </row>
    <row r="15" spans="1:14" ht="16.5" x14ac:dyDescent="0.25">
      <c r="A15" t="str">
        <f>TRIM(CONCATENATE(PROPER(Funcionários!B11)," ",Funcionários!C11," ",PROPER((Funcionários!A11))))</f>
        <v>Wanda Silva Juliano</v>
      </c>
      <c r="B15" s="11">
        <v>3</v>
      </c>
      <c r="C15" t="str">
        <f>IF(OR(B15&lt;1,B15&gt;15),"ERRO!!!",VLOOKUP(B15,Cargos!A$3:C26,2))</f>
        <v>Chefe de Cobrança</v>
      </c>
      <c r="D15">
        <f>IF(C15="ERRO!!!",0,VLOOKUP(B15,Cargos!A$3:C$17,3))</f>
        <v>15</v>
      </c>
      <c r="E15" s="7">
        <f t="shared" si="1"/>
        <v>16500</v>
      </c>
      <c r="F15" s="8">
        <f>VLOOKUP(D15,INSS!$A$4:$C$7,3,TRUE)*E15</f>
        <v>1650</v>
      </c>
      <c r="G15" s="11">
        <v>1</v>
      </c>
      <c r="H15" s="2">
        <f t="shared" si="2"/>
        <v>137.5</v>
      </c>
      <c r="I15" s="7">
        <f t="shared" si="0"/>
        <v>330</v>
      </c>
      <c r="J15" s="7">
        <f>Tabela2[[#This Row],[INSS]]+Tabela2[[#This Row],[IRRF ]]</f>
        <v>1980</v>
      </c>
      <c r="K15" s="7">
        <f>Tabela2[[#This Row],[Sal. Bruto ]]-Tabela2[[#This Row],[Tot. Desc. ]]</f>
        <v>14520</v>
      </c>
      <c r="M15" s="9">
        <f t="shared" ca="1" si="3"/>
        <v>88517207</v>
      </c>
      <c r="N15" s="10">
        <f t="shared" ca="1" si="3"/>
        <v>32260407</v>
      </c>
    </row>
    <row r="16" spans="1:14" ht="16.5" x14ac:dyDescent="0.25">
      <c r="A16" t="str">
        <f>TRIM(CONCATENATE(PROPER(Funcionários!B12)," ",Funcionários!C12," ",PROPER((Funcionários!A12))))</f>
        <v>Antonio da Silva</v>
      </c>
      <c r="B16" s="11">
        <v>4</v>
      </c>
      <c r="C16" t="str">
        <f>IF(OR(B16&lt;1,B16&gt;15),"ERRO!!!",VLOOKUP(B16,Cargos!A$3:C27,2))</f>
        <v>Chefe de Expedição</v>
      </c>
      <c r="D16">
        <f>IF(C16="ERRO!!!",0,VLOOKUP(B16,Cargos!A$3:C$17,3))</f>
        <v>7</v>
      </c>
      <c r="E16" s="7">
        <f t="shared" si="1"/>
        <v>7700</v>
      </c>
      <c r="F16" s="8">
        <f>VLOOKUP(D16,INSS!$A$4:$C$7,3,TRUE)*E16</f>
        <v>539</v>
      </c>
      <c r="G16" s="11">
        <v>1</v>
      </c>
      <c r="H16" s="2">
        <f t="shared" si="2"/>
        <v>137.5</v>
      </c>
      <c r="I16" s="7">
        <f t="shared" si="0"/>
        <v>154</v>
      </c>
      <c r="J16" s="7">
        <f>Tabela2[[#This Row],[INSS]]+Tabela2[[#This Row],[IRRF ]]</f>
        <v>693</v>
      </c>
      <c r="K16" s="7">
        <f>Tabela2[[#This Row],[Sal. Bruto ]]-Tabela2[[#This Row],[Tot. Desc. ]]</f>
        <v>7007</v>
      </c>
      <c r="M16" s="9">
        <f t="shared" ca="1" si="3"/>
        <v>30207279</v>
      </c>
      <c r="N16" s="10">
        <f t="shared" ca="1" si="3"/>
        <v>22310440</v>
      </c>
    </row>
    <row r="17" spans="1:14" ht="16.5" x14ac:dyDescent="0.25">
      <c r="A17" t="str">
        <f>TRIM(CONCATENATE(PROPER(Funcionários!B13)," ",Funcionários!C13," ",PROPER((Funcionários!A13))))</f>
        <v>Cezar Pedro de Jesus</v>
      </c>
      <c r="B17" s="11">
        <v>5</v>
      </c>
      <c r="C17" t="str">
        <f>IF(OR(B17&lt;1,B17&gt;15),"ERRO!!!",VLOOKUP(B17,Cargos!A$3:C28,2))</f>
        <v>Contador</v>
      </c>
      <c r="D17">
        <f>IF(C17="ERRO!!!",0,VLOOKUP(B17,Cargos!A$3:C$17,3))</f>
        <v>13</v>
      </c>
      <c r="E17" s="7">
        <f t="shared" si="1"/>
        <v>14300</v>
      </c>
      <c r="F17" s="8">
        <f>VLOOKUP(D17,INSS!$A$4:$C$7,3,TRUE)*E17</f>
        <v>1430</v>
      </c>
      <c r="G17" s="11">
        <v>0</v>
      </c>
      <c r="H17" s="2">
        <f t="shared" si="2"/>
        <v>0</v>
      </c>
      <c r="I17" s="7">
        <f t="shared" si="0"/>
        <v>286</v>
      </c>
      <c r="J17" s="7">
        <f>Tabela2[[#This Row],[INSS]]+Tabela2[[#This Row],[IRRF ]]</f>
        <v>1716</v>
      </c>
      <c r="K17" s="7">
        <f>Tabela2[[#This Row],[Sal. Bruto ]]-Tabela2[[#This Row],[Tot. Desc. ]]</f>
        <v>12584</v>
      </c>
      <c r="M17" s="9">
        <f t="shared" ca="1" si="3"/>
        <v>69045956</v>
      </c>
      <c r="N17" s="10">
        <f t="shared" ca="1" si="3"/>
        <v>42037401</v>
      </c>
    </row>
    <row r="18" spans="1:14" ht="16.5" x14ac:dyDescent="0.25">
      <c r="A18" t="str">
        <f>TRIM(CONCATENATE(PROPER(Funcionários!B14)," ",Funcionários!C14," ",PROPER((Funcionários!A14))))</f>
        <v>Abel de Souza</v>
      </c>
      <c r="B18" s="11">
        <v>1</v>
      </c>
      <c r="C18" t="str">
        <f>IF(OR(B18&lt;1,B18&gt;15),"ERRO!!!",VLOOKUP(B18,Cargos!A$3:C29,2))</f>
        <v>Análista de Salários</v>
      </c>
      <c r="D18">
        <f>IF(C18="ERRO!!!",0,VLOOKUP(B18,Cargos!A$3:C$17,3))</f>
        <v>10</v>
      </c>
      <c r="E18" s="7">
        <f t="shared" si="1"/>
        <v>11000</v>
      </c>
      <c r="F18" s="8">
        <f>VLOOKUP(D18,INSS!$A$4:$C$7,3,TRUE)*E18</f>
        <v>935.00000000000011</v>
      </c>
      <c r="G18" s="11">
        <v>3</v>
      </c>
      <c r="H18" s="2">
        <f t="shared" si="2"/>
        <v>412.5</v>
      </c>
      <c r="I18" s="7">
        <f t="shared" si="0"/>
        <v>440</v>
      </c>
      <c r="J18" s="7">
        <f>Tabela2[[#This Row],[INSS]]+Tabela2[[#This Row],[IRRF ]]</f>
        <v>1375</v>
      </c>
      <c r="K18" s="7">
        <f>Tabela2[[#This Row],[Sal. Bruto ]]-Tabela2[[#This Row],[Tot. Desc. ]]</f>
        <v>9625</v>
      </c>
      <c r="M18" s="9">
        <f t="shared" ca="1" si="3"/>
        <v>95481960</v>
      </c>
      <c r="N18" s="10">
        <f t="shared" ca="1" si="3"/>
        <v>82393934</v>
      </c>
    </row>
    <row r="19" spans="1:14" ht="16.5" x14ac:dyDescent="0.25">
      <c r="A19" t="str">
        <f>TRIM(CONCATENATE(PROPER(Funcionários!B15)," ",Funcionários!C15," ",PROPER((Funcionários!A15))))</f>
        <v>Antonia de Marinho</v>
      </c>
      <c r="B19" s="11">
        <v>2</v>
      </c>
      <c r="C19" t="str">
        <f>IF(OR(B19&lt;1,B19&gt;15),"ERRO!!!",VLOOKUP(B19,Cargos!A$3:C30,2))</f>
        <v>Auxiliar de Contabilidade</v>
      </c>
      <c r="D19">
        <f>IF(C19="ERRO!!!",0,VLOOKUP(B19,Cargos!A$3:C$17,3))</f>
        <v>6</v>
      </c>
      <c r="E19" s="7">
        <f t="shared" si="1"/>
        <v>6600</v>
      </c>
      <c r="F19" s="8">
        <f>VLOOKUP(D19,INSS!$A$4:$C$7,3,TRUE)*E19</f>
        <v>462.00000000000006</v>
      </c>
      <c r="G19" s="11">
        <v>2</v>
      </c>
      <c r="H19" s="2">
        <f t="shared" si="2"/>
        <v>275</v>
      </c>
      <c r="I19" s="7">
        <f t="shared" si="0"/>
        <v>264</v>
      </c>
      <c r="J19" s="7">
        <f>Tabela2[[#This Row],[INSS]]+Tabela2[[#This Row],[IRRF ]]</f>
        <v>726</v>
      </c>
      <c r="K19" s="7">
        <f>Tabela2[[#This Row],[Sal. Bruto ]]-Tabela2[[#This Row],[Tot. Desc. ]]</f>
        <v>5874</v>
      </c>
      <c r="M19" s="9">
        <f t="shared" ca="1" si="3"/>
        <v>31223558</v>
      </c>
      <c r="N19" s="10">
        <f t="shared" ca="1" si="3"/>
        <v>38173800</v>
      </c>
    </row>
    <row r="20" spans="1:14" ht="16.5" x14ac:dyDescent="0.25">
      <c r="A20" t="str">
        <f>TRIM(CONCATENATE(PROPER(Funcionários!B16)," ",Funcionários!C16," ",PROPER((Funcionários!A16))))</f>
        <v>Josefa de Malaquias</v>
      </c>
      <c r="B20" s="11">
        <v>3</v>
      </c>
      <c r="C20" t="str">
        <f>IF(OR(B20&lt;1,B20&gt;15),"ERRO!!!",VLOOKUP(B20,Cargos!A$3:C31,2))</f>
        <v>Chefe de Cobrança</v>
      </c>
      <c r="D20">
        <f>IF(C20="ERRO!!!",0,VLOOKUP(B20,Cargos!A$3:C$17,3))</f>
        <v>15</v>
      </c>
      <c r="E20" s="7">
        <f t="shared" si="1"/>
        <v>16500</v>
      </c>
      <c r="F20" s="8">
        <f>VLOOKUP(D20,INSS!$A$4:$C$7,3,TRUE)*E20</f>
        <v>1650</v>
      </c>
      <c r="G20" s="11">
        <v>0</v>
      </c>
      <c r="H20" s="2">
        <f t="shared" si="2"/>
        <v>0</v>
      </c>
      <c r="I20" s="7">
        <f t="shared" si="0"/>
        <v>330</v>
      </c>
      <c r="J20" s="7">
        <f>Tabela2[[#This Row],[INSS]]+Tabela2[[#This Row],[IRRF ]]</f>
        <v>1980</v>
      </c>
      <c r="K20" s="7">
        <f>Tabela2[[#This Row],[Sal. Bruto ]]-Tabela2[[#This Row],[Tot. Desc. ]]</f>
        <v>14520</v>
      </c>
      <c r="M20" s="9">
        <f t="shared" ca="1" si="3"/>
        <v>63308861</v>
      </c>
      <c r="N20" s="10">
        <f t="shared" ca="1" si="3"/>
        <v>46006792</v>
      </c>
    </row>
    <row r="21" spans="1:14" ht="16.5" x14ac:dyDescent="0.25">
      <c r="A21" t="str">
        <f>TRIM(CONCATENATE(PROPER(Funcionários!B17)," ",Funcionários!C17," ",PROPER((Funcionários!A17))))</f>
        <v>Sonia Silva</v>
      </c>
      <c r="B21" s="11">
        <v>6</v>
      </c>
      <c r="C21" t="str">
        <f>IF(OR(B21&lt;1,B21&gt;15),"ERRO!!!",VLOOKUP(B21,Cargos!A$3:C32,2))</f>
        <v>Diretor de Divisão</v>
      </c>
      <c r="D21">
        <f>IF(C21="ERRO!!!",0,VLOOKUP(B21,Cargos!A$3:C$17,3))</f>
        <v>20</v>
      </c>
      <c r="E21" s="7">
        <f t="shared" si="1"/>
        <v>22000</v>
      </c>
      <c r="F21" s="8">
        <f>VLOOKUP(D21,INSS!$A$4:$C$7,3,TRUE)*E21</f>
        <v>2200</v>
      </c>
      <c r="G21" s="11">
        <v>1</v>
      </c>
      <c r="H21" s="2">
        <f t="shared" si="2"/>
        <v>137.5</v>
      </c>
      <c r="I21" s="7">
        <f t="shared" si="0"/>
        <v>440</v>
      </c>
      <c r="J21" s="7">
        <f>Tabela2[[#This Row],[INSS]]+Tabela2[[#This Row],[IRRF ]]</f>
        <v>2640</v>
      </c>
      <c r="K21" s="7">
        <f>Tabela2[[#This Row],[Sal. Bruto ]]-Tabela2[[#This Row],[Tot. Desc. ]]</f>
        <v>19360</v>
      </c>
      <c r="M21" s="9">
        <f t="shared" ca="1" si="3"/>
        <v>12911327</v>
      </c>
      <c r="N21" s="10">
        <f t="shared" ca="1" si="3"/>
        <v>71137317</v>
      </c>
    </row>
    <row r="22" spans="1:14" x14ac:dyDescent="0.25">
      <c r="A22" s="1" t="s">
        <v>25</v>
      </c>
      <c r="E22" s="6">
        <f>SUM(SalariosBrutos)</f>
        <v>215600</v>
      </c>
      <c r="F22" s="8"/>
      <c r="H22" s="2">
        <f>SUM(H6:H21)</f>
        <v>3162.5</v>
      </c>
      <c r="I22" s="2">
        <f>SUM(I6:I21)</f>
        <v>6270</v>
      </c>
      <c r="J22" s="2">
        <f>SUM(J6:J21)</f>
        <v>26444</v>
      </c>
      <c r="K22" s="6">
        <f>SUM(SalariosLiquidos)</f>
        <v>189156</v>
      </c>
    </row>
    <row r="23" spans="1:14" x14ac:dyDescent="0.25">
      <c r="A23" s="1" t="s">
        <v>12</v>
      </c>
      <c r="E23" s="2">
        <f>AVERAGE(E6:E21)</f>
        <v>13475</v>
      </c>
      <c r="F23" s="2">
        <f>AVERAGE(F6:F21)</f>
        <v>1260.875</v>
      </c>
      <c r="H23" s="2">
        <f>AVERAGE(H6:H21)</f>
        <v>197.65625</v>
      </c>
      <c r="I23" s="2">
        <f>AVERAGE(I6:I21)</f>
        <v>391.875</v>
      </c>
      <c r="J23" s="2">
        <f>AVERAGE(J6:J21)</f>
        <v>1652.75</v>
      </c>
      <c r="K23" s="2">
        <f>AVERAGE(K6:K21)</f>
        <v>11822.25</v>
      </c>
    </row>
    <row r="24" spans="1:14" x14ac:dyDescent="0.25">
      <c r="A24" s="1" t="s">
        <v>11</v>
      </c>
      <c r="E24" s="2">
        <f>MAX(E6:E21)</f>
        <v>22000</v>
      </c>
      <c r="F24" s="2">
        <f>MAX(F6:F21)</f>
        <v>2200</v>
      </c>
      <c r="H24" s="2">
        <f>MAX(H6:H21)</f>
        <v>550</v>
      </c>
      <c r="I24" s="2">
        <f>MAX(I6:I21)</f>
        <v>880</v>
      </c>
      <c r="J24" s="2">
        <f>MAX(J6:J21)</f>
        <v>3080</v>
      </c>
      <c r="K24" s="2">
        <f>MAX(K6:K21)</f>
        <v>19360</v>
      </c>
    </row>
    <row r="29" spans="1:14" x14ac:dyDescent="0.25">
      <c r="C29" t="s">
        <v>90</v>
      </c>
    </row>
    <row r="42" spans="1:21" x14ac:dyDescent="0.25">
      <c r="A42" t="s">
        <v>69</v>
      </c>
    </row>
    <row r="43" spans="1:21" x14ac:dyDescent="0.25">
      <c r="A43" t="s">
        <v>70</v>
      </c>
    </row>
    <row r="44" spans="1:21" x14ac:dyDescent="0.25">
      <c r="A44" t="s">
        <v>71</v>
      </c>
    </row>
    <row r="45" spans="1:21" x14ac:dyDescent="0.25">
      <c r="B45">
        <v>2007</v>
      </c>
      <c r="C45">
        <v>2008</v>
      </c>
      <c r="D45">
        <v>2009</v>
      </c>
      <c r="E45">
        <v>2010</v>
      </c>
      <c r="F45">
        <v>2011</v>
      </c>
      <c r="G45">
        <v>2012</v>
      </c>
      <c r="H45">
        <v>2013</v>
      </c>
      <c r="I45">
        <v>2014</v>
      </c>
      <c r="J45">
        <v>2015</v>
      </c>
      <c r="K45">
        <v>2016</v>
      </c>
      <c r="L45">
        <v>2017</v>
      </c>
      <c r="M45">
        <v>2018</v>
      </c>
      <c r="N45">
        <v>2019</v>
      </c>
      <c r="R45" s="27" t="str">
        <f>UPPER("Exercicío sobre exportação")</f>
        <v>EXERCICÍO SOBRE EXPORTAÇÃO</v>
      </c>
      <c r="S45" s="27"/>
      <c r="T45" s="27"/>
      <c r="U45" s="27"/>
    </row>
    <row r="46" spans="1:21" x14ac:dyDescent="0.25">
      <c r="A46" t="s">
        <v>72</v>
      </c>
      <c r="B46">
        <v>2.1389999999999998</v>
      </c>
      <c r="C46">
        <v>1.774</v>
      </c>
      <c r="D46">
        <v>2.3069999999999999</v>
      </c>
      <c r="E46">
        <v>1.778</v>
      </c>
      <c r="F46">
        <v>1.675</v>
      </c>
      <c r="G46">
        <v>1.7909999999999999</v>
      </c>
      <c r="H46">
        <v>2.0310000000000001</v>
      </c>
      <c r="I46">
        <v>2.3820000000000001</v>
      </c>
      <c r="J46">
        <v>2.6379999999999999</v>
      </c>
      <c r="K46">
        <v>4.0540000000000003</v>
      </c>
      <c r="L46">
        <v>3.1970000000000001</v>
      </c>
      <c r="M46">
        <v>3.2130000000000001</v>
      </c>
      <c r="N46">
        <v>3.7349999999999999</v>
      </c>
      <c r="R46" s="13">
        <v>2016</v>
      </c>
      <c r="S46" s="13">
        <v>2017</v>
      </c>
      <c r="T46" s="13">
        <v>2018</v>
      </c>
      <c r="U46" s="13">
        <v>2019</v>
      </c>
    </row>
    <row r="47" spans="1:21" x14ac:dyDescent="0.25">
      <c r="A47" t="s">
        <v>73</v>
      </c>
      <c r="B47">
        <v>2.0960000000000001</v>
      </c>
      <c r="C47">
        <v>1.728</v>
      </c>
      <c r="D47">
        <v>2.3130000000000002</v>
      </c>
      <c r="E47">
        <v>1.8420000000000001</v>
      </c>
      <c r="F47">
        <v>1.6679999999999999</v>
      </c>
      <c r="G47">
        <v>1.718</v>
      </c>
      <c r="H47">
        <v>1.9730000000000001</v>
      </c>
      <c r="I47">
        <v>2.3839999999999999</v>
      </c>
      <c r="J47">
        <v>2.8170000000000002</v>
      </c>
      <c r="K47">
        <v>3.9780000000000002</v>
      </c>
      <c r="L47">
        <v>3.1030000000000002</v>
      </c>
      <c r="M47">
        <v>3.2429999999999999</v>
      </c>
      <c r="N47">
        <v>3.718</v>
      </c>
      <c r="Q47" s="15" t="s">
        <v>72</v>
      </c>
      <c r="R47" s="14">
        <f t="shared" ref="R47:U49" si="4">$E$22/K46</f>
        <v>53182.042427232358</v>
      </c>
      <c r="S47" s="14">
        <f t="shared" si="4"/>
        <v>67438.223334375973</v>
      </c>
      <c r="T47" s="14">
        <f t="shared" si="4"/>
        <v>67102.396514161213</v>
      </c>
      <c r="U47" s="14">
        <f t="shared" si="4"/>
        <v>57724.230254350739</v>
      </c>
    </row>
    <row r="48" spans="1:21" x14ac:dyDescent="0.25">
      <c r="A48" t="s">
        <v>74</v>
      </c>
      <c r="B48">
        <v>2.089</v>
      </c>
      <c r="C48">
        <v>1.708</v>
      </c>
      <c r="D48">
        <v>2.3140000000000001</v>
      </c>
      <c r="E48">
        <v>1.786</v>
      </c>
      <c r="F48">
        <v>1.659</v>
      </c>
      <c r="G48">
        <v>1.7949999999999999</v>
      </c>
      <c r="H48">
        <v>1.9830000000000001</v>
      </c>
      <c r="I48">
        <v>2.3260000000000001</v>
      </c>
      <c r="J48">
        <v>3.14</v>
      </c>
      <c r="K48">
        <v>3.694</v>
      </c>
      <c r="L48">
        <v>3.1269999999999998</v>
      </c>
      <c r="M48">
        <v>3.2770000000000001</v>
      </c>
      <c r="N48">
        <v>3.8370000000000002</v>
      </c>
      <c r="Q48" s="15" t="s">
        <v>73</v>
      </c>
      <c r="R48" s="14">
        <f t="shared" si="4"/>
        <v>54198.089492207138</v>
      </c>
      <c r="S48" s="14">
        <f t="shared" si="4"/>
        <v>69481.147276828866</v>
      </c>
      <c r="T48" s="14">
        <f t="shared" si="4"/>
        <v>66481.652790625973</v>
      </c>
      <c r="U48" s="14">
        <f t="shared" si="4"/>
        <v>57988.165680473372</v>
      </c>
    </row>
    <row r="49" spans="1:21" x14ac:dyDescent="0.25">
      <c r="A49" t="s">
        <v>75</v>
      </c>
      <c r="B49">
        <v>2.0329999999999999</v>
      </c>
      <c r="C49">
        <v>1.6890000000000001</v>
      </c>
      <c r="D49">
        <v>2.206</v>
      </c>
      <c r="E49">
        <v>1.7569999999999999</v>
      </c>
      <c r="F49">
        <v>1.5860000000000001</v>
      </c>
      <c r="G49">
        <v>1.855</v>
      </c>
      <c r="H49">
        <v>2.0019999999999998</v>
      </c>
      <c r="I49">
        <v>2.2330000000000001</v>
      </c>
      <c r="J49">
        <v>3.044</v>
      </c>
      <c r="K49">
        <v>3.5510000000000002</v>
      </c>
      <c r="L49">
        <v>3.14</v>
      </c>
      <c r="M49">
        <v>3.4089999999999998</v>
      </c>
      <c r="Q49" s="15" t="s">
        <v>74</v>
      </c>
      <c r="R49" s="14">
        <f t="shared" si="4"/>
        <v>58364.916080129944</v>
      </c>
      <c r="S49" s="14">
        <f t="shared" si="4"/>
        <v>68947.873361048929</v>
      </c>
      <c r="T49" s="14">
        <f t="shared" si="4"/>
        <v>65791.882819652121</v>
      </c>
      <c r="U49" s="14">
        <f t="shared" si="4"/>
        <v>56189.731561115455</v>
      </c>
    </row>
    <row r="50" spans="1:21" x14ac:dyDescent="0.25">
      <c r="A50" t="s">
        <v>76</v>
      </c>
      <c r="B50">
        <v>1.982</v>
      </c>
      <c r="C50">
        <v>1.661</v>
      </c>
      <c r="D50">
        <v>2.0609999999999999</v>
      </c>
      <c r="E50">
        <v>1.8129999999999999</v>
      </c>
      <c r="F50">
        <v>1.6140000000000001</v>
      </c>
      <c r="G50">
        <v>1.986</v>
      </c>
      <c r="H50">
        <v>2.0350000000000001</v>
      </c>
      <c r="I50">
        <v>2.2210000000000001</v>
      </c>
      <c r="J50">
        <v>3.0640000000000001</v>
      </c>
      <c r="K50">
        <v>3.5489999999999999</v>
      </c>
      <c r="L50">
        <v>3.2090000000000001</v>
      </c>
      <c r="M50">
        <v>3.6339999999999999</v>
      </c>
      <c r="Q50" s="15" t="s">
        <v>75</v>
      </c>
      <c r="R50" s="14">
        <f t="shared" ref="R50:T53" si="5">$E$22/K49</f>
        <v>60715.291467192335</v>
      </c>
      <c r="S50" s="14">
        <f t="shared" si="5"/>
        <v>68662.420382165597</v>
      </c>
      <c r="T50" s="14">
        <f t="shared" si="5"/>
        <v>63244.353182751547</v>
      </c>
      <c r="U50" s="9"/>
    </row>
    <row r="51" spans="1:21" x14ac:dyDescent="0.25">
      <c r="A51" t="s">
        <v>77</v>
      </c>
      <c r="B51">
        <v>1.9319999999999999</v>
      </c>
      <c r="C51">
        <v>1.619</v>
      </c>
      <c r="D51">
        <v>1.958</v>
      </c>
      <c r="E51">
        <v>1.8069999999999999</v>
      </c>
      <c r="F51">
        <v>1.587</v>
      </c>
      <c r="G51">
        <v>2.0489999999999999</v>
      </c>
      <c r="H51">
        <v>2.173</v>
      </c>
      <c r="I51">
        <v>2.2360000000000002</v>
      </c>
      <c r="J51">
        <v>3.1110000000000002</v>
      </c>
      <c r="K51">
        <v>3.4180000000000001</v>
      </c>
      <c r="L51">
        <v>3.2970000000000002</v>
      </c>
      <c r="M51">
        <v>3.7829999999999999</v>
      </c>
      <c r="Q51" s="15" t="s">
        <v>76</v>
      </c>
      <c r="R51" s="14">
        <f t="shared" si="5"/>
        <v>60749.50690335306</v>
      </c>
      <c r="S51" s="14">
        <f t="shared" si="5"/>
        <v>67186.039264568404</v>
      </c>
      <c r="T51" s="14">
        <f t="shared" si="5"/>
        <v>59328.563566318109</v>
      </c>
      <c r="U51" s="9"/>
    </row>
    <row r="52" spans="1:21" x14ac:dyDescent="0.25">
      <c r="A52" t="s">
        <v>78</v>
      </c>
      <c r="B52">
        <v>1.8819999999999999</v>
      </c>
      <c r="C52">
        <v>1.591</v>
      </c>
      <c r="D52">
        <v>1.93</v>
      </c>
      <c r="E52">
        <v>1.77</v>
      </c>
      <c r="F52">
        <v>1.5640000000000001</v>
      </c>
      <c r="G52">
        <v>2.0289999999999999</v>
      </c>
      <c r="H52">
        <v>2.2519999999999998</v>
      </c>
      <c r="I52">
        <v>2.2250000000000001</v>
      </c>
      <c r="J52">
        <v>3.2240000000000002</v>
      </c>
      <c r="K52">
        <v>3.278</v>
      </c>
      <c r="L52">
        <v>3.2050000000000001</v>
      </c>
      <c r="M52">
        <v>3.823</v>
      </c>
      <c r="Q52" s="15" t="s">
        <v>77</v>
      </c>
      <c r="R52" s="14">
        <f t="shared" si="5"/>
        <v>63077.823288472791</v>
      </c>
      <c r="S52" s="14">
        <f t="shared" si="5"/>
        <v>65392.781316348191</v>
      </c>
      <c r="T52" s="14">
        <f t="shared" si="5"/>
        <v>56991.805445413695</v>
      </c>
      <c r="U52" s="9"/>
    </row>
    <row r="53" spans="1:21" x14ac:dyDescent="0.25">
      <c r="A53" t="s">
        <v>79</v>
      </c>
      <c r="B53">
        <v>1.966</v>
      </c>
      <c r="C53">
        <v>1.6120000000000001</v>
      </c>
      <c r="D53">
        <v>1.845</v>
      </c>
      <c r="E53">
        <v>1.76</v>
      </c>
      <c r="F53">
        <v>1.597</v>
      </c>
      <c r="G53">
        <v>2.0289999999999999</v>
      </c>
      <c r="H53">
        <v>2.3420000000000001</v>
      </c>
      <c r="I53">
        <v>2.2679999999999998</v>
      </c>
      <c r="J53">
        <v>3.5150000000000001</v>
      </c>
      <c r="K53">
        <v>3.2080000000000002</v>
      </c>
      <c r="L53">
        <v>3.153</v>
      </c>
      <c r="M53">
        <v>3.9329999999999998</v>
      </c>
      <c r="Q53" s="15" t="s">
        <v>78</v>
      </c>
      <c r="R53" s="14">
        <f t="shared" si="5"/>
        <v>65771.812080536911</v>
      </c>
      <c r="S53" s="14">
        <f t="shared" si="5"/>
        <v>67269.890795631829</v>
      </c>
      <c r="T53" s="14">
        <f t="shared" si="5"/>
        <v>56395.50091551138</v>
      </c>
      <c r="U53" s="9"/>
    </row>
    <row r="54" spans="1:21" x14ac:dyDescent="0.25">
      <c r="A54" t="s">
        <v>80</v>
      </c>
      <c r="B54">
        <v>1.9</v>
      </c>
      <c r="C54">
        <v>1.8</v>
      </c>
      <c r="D54">
        <v>1.82</v>
      </c>
      <c r="E54">
        <v>1.7190000000000001</v>
      </c>
      <c r="F54">
        <v>1.75</v>
      </c>
      <c r="G54">
        <v>2.028</v>
      </c>
      <c r="H54">
        <v>2.27</v>
      </c>
      <c r="I54">
        <v>2.3330000000000002</v>
      </c>
      <c r="J54">
        <v>3.8959999999999999</v>
      </c>
      <c r="K54">
        <v>3.2559999999999998</v>
      </c>
      <c r="L54">
        <v>3.1379999999999999</v>
      </c>
      <c r="M54">
        <v>4.1079999999999997</v>
      </c>
      <c r="Q54" s="15" t="s">
        <v>81</v>
      </c>
      <c r="R54" s="14">
        <f t="shared" ref="R54:T56" si="6">$E$22/K55</f>
        <v>67671.060891399873</v>
      </c>
      <c r="S54" s="14">
        <f t="shared" si="6"/>
        <v>67459.324155193986</v>
      </c>
      <c r="T54" s="14">
        <f t="shared" si="6"/>
        <v>57325.179473544267</v>
      </c>
      <c r="U54" s="9"/>
    </row>
    <row r="55" spans="1:21" x14ac:dyDescent="0.25">
      <c r="A55" t="s">
        <v>81</v>
      </c>
      <c r="B55">
        <v>1.8009999999999999</v>
      </c>
      <c r="C55">
        <v>2.173</v>
      </c>
      <c r="D55">
        <v>1.738</v>
      </c>
      <c r="E55">
        <v>1.6839999999999999</v>
      </c>
      <c r="F55">
        <v>1.7729999999999999</v>
      </c>
      <c r="G55">
        <v>2.0289999999999999</v>
      </c>
      <c r="H55">
        <v>2.1890000000000001</v>
      </c>
      <c r="I55">
        <v>2.448</v>
      </c>
      <c r="J55">
        <v>3.8759999999999999</v>
      </c>
      <c r="K55">
        <v>3.1859999999999999</v>
      </c>
      <c r="L55">
        <v>3.1960000000000002</v>
      </c>
      <c r="M55">
        <v>3.7610000000000001</v>
      </c>
      <c r="Q55" s="15" t="s">
        <v>82</v>
      </c>
      <c r="R55" s="14">
        <f t="shared" si="6"/>
        <v>64570.230607966456</v>
      </c>
      <c r="S55" s="14">
        <f t="shared" si="6"/>
        <v>66195.885784464233</v>
      </c>
      <c r="T55" s="14">
        <f t="shared" si="6"/>
        <v>56916.57866948258</v>
      </c>
      <c r="U55" s="9"/>
    </row>
    <row r="56" spans="1:21" x14ac:dyDescent="0.25">
      <c r="A56" t="s">
        <v>82</v>
      </c>
      <c r="B56">
        <v>1.77</v>
      </c>
      <c r="C56">
        <v>2.266</v>
      </c>
      <c r="D56">
        <v>1.726</v>
      </c>
      <c r="E56">
        <v>1.7130000000000001</v>
      </c>
      <c r="F56">
        <v>1.7909999999999999</v>
      </c>
      <c r="G56">
        <v>2.0670000000000002</v>
      </c>
      <c r="H56">
        <v>2.2970000000000002</v>
      </c>
      <c r="I56">
        <v>2.5379999999999998</v>
      </c>
      <c r="J56">
        <v>3.778</v>
      </c>
      <c r="K56">
        <v>3.339</v>
      </c>
      <c r="L56">
        <v>3.2570000000000001</v>
      </c>
      <c r="M56">
        <v>3.7879999999999998</v>
      </c>
      <c r="Q56" s="15" t="s">
        <v>83</v>
      </c>
      <c r="R56" s="14">
        <f t="shared" si="6"/>
        <v>64339.003282602207</v>
      </c>
      <c r="S56" s="14">
        <f t="shared" si="6"/>
        <v>65392.781316348191</v>
      </c>
      <c r="T56" s="14">
        <f t="shared" si="6"/>
        <v>55509.783728115348</v>
      </c>
      <c r="U56" s="9"/>
    </row>
    <row r="57" spans="1:21" x14ac:dyDescent="0.25">
      <c r="A57" t="s">
        <v>83</v>
      </c>
      <c r="B57">
        <v>1.7869999999999999</v>
      </c>
      <c r="C57">
        <v>2.3980000000000001</v>
      </c>
      <c r="D57">
        <v>1.7509999999999999</v>
      </c>
      <c r="E57">
        <v>1.6950000000000001</v>
      </c>
      <c r="F57">
        <v>1.837</v>
      </c>
      <c r="G57">
        <v>2.08</v>
      </c>
      <c r="H57">
        <v>2.3450000000000002</v>
      </c>
      <c r="I57">
        <v>2.6440000000000001</v>
      </c>
      <c r="J57">
        <v>3.8690000000000002</v>
      </c>
      <c r="K57">
        <v>3.351</v>
      </c>
      <c r="L57">
        <v>3.2970000000000002</v>
      </c>
      <c r="M57">
        <v>3.8839999999999999</v>
      </c>
    </row>
    <row r="58" spans="1:21" x14ac:dyDescent="0.25">
      <c r="A58" t="s">
        <v>84</v>
      </c>
    </row>
    <row r="59" spans="1:21" x14ac:dyDescent="0.25">
      <c r="A59" t="s">
        <v>85</v>
      </c>
    </row>
    <row r="60" spans="1:21" x14ac:dyDescent="0.25">
      <c r="A60" t="s">
        <v>86</v>
      </c>
    </row>
  </sheetData>
  <sheetProtection selectLockedCells="1"/>
  <mergeCells count="2">
    <mergeCell ref="A1:K1"/>
    <mergeCell ref="R45:U45"/>
  </mergeCells>
  <dataValidations xWindow="233" yWindow="566" count="1">
    <dataValidation type="custom" allowBlank="1" showInputMessage="1" showErrorMessage="1" error="Não pode causar um Salário família maior que 10% do Salário bruto." prompt="O número de dependentes não cause um Salário família maior que 10% do Salário bruto do funcionário." sqref="G6:G21">
      <formula1>G6*H6&lt;(0.1*E6)</formula1>
    </dataValidation>
  </dataValidation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233" yWindow="566" count="1">
        <x14:dataValidation type="list" errorStyle="warning" allowBlank="1" showInputMessage="1" showErrorMessage="1" error="Apenas o Código do cargo!" prompt="Selecione o Código">
          <x14:formula1>
            <xm:f>Cargos!$A$3:$A$8</xm:f>
          </x14:formula1>
          <xm:sqref>B6:B21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K22"/>
  <sheetViews>
    <sheetView workbookViewId="0">
      <selection activeCell="M17" sqref="M17"/>
    </sheetView>
  </sheetViews>
  <sheetFormatPr defaultRowHeight="15" x14ac:dyDescent="0.25"/>
  <cols>
    <col min="2" max="2" width="12" customWidth="1"/>
    <col min="3" max="3" width="27.28515625" customWidth="1"/>
  </cols>
  <sheetData>
    <row r="1" spans="1:4" ht="15.75" thickBot="1" x14ac:dyDescent="0.3"/>
    <row r="2" spans="1:4" ht="15.75" thickBot="1" x14ac:dyDescent="0.3">
      <c r="A2" s="17"/>
      <c r="B2" s="18"/>
      <c r="C2" s="18"/>
      <c r="D2" s="19"/>
    </row>
    <row r="3" spans="1:4" ht="15.75" thickBot="1" x14ac:dyDescent="0.3">
      <c r="A3" s="20"/>
      <c r="B3" s="9" t="s">
        <v>87</v>
      </c>
      <c r="C3" s="16" t="s">
        <v>89</v>
      </c>
      <c r="D3" s="21"/>
    </row>
    <row r="4" spans="1:4" x14ac:dyDescent="0.25">
      <c r="A4" s="20"/>
      <c r="B4" s="9"/>
      <c r="C4" s="9"/>
      <c r="D4" s="21"/>
    </row>
    <row r="5" spans="1:4" x14ac:dyDescent="0.25">
      <c r="A5" s="20"/>
      <c r="B5" s="9" t="s">
        <v>88</v>
      </c>
      <c r="C5" s="9"/>
      <c r="D5" s="21"/>
    </row>
    <row r="6" spans="1:4" x14ac:dyDescent="0.25">
      <c r="A6" s="20"/>
      <c r="B6" s="9"/>
      <c r="C6" s="9"/>
      <c r="D6" s="21"/>
    </row>
    <row r="7" spans="1:4" x14ac:dyDescent="0.25">
      <c r="A7" s="20"/>
      <c r="B7" s="9"/>
      <c r="C7" s="9"/>
      <c r="D7" s="21"/>
    </row>
    <row r="8" spans="1:4" x14ac:dyDescent="0.25">
      <c r="A8" s="20"/>
      <c r="B8" s="9"/>
      <c r="C8" s="9"/>
      <c r="D8" s="21"/>
    </row>
    <row r="9" spans="1:4" x14ac:dyDescent="0.25">
      <c r="A9" s="20"/>
      <c r="B9" s="9"/>
      <c r="C9" s="9"/>
      <c r="D9" s="21"/>
    </row>
    <row r="10" spans="1:4" ht="15.75" thickBot="1" x14ac:dyDescent="0.3">
      <c r="A10" s="22"/>
      <c r="B10" s="23"/>
      <c r="C10" s="23"/>
      <c r="D10" s="24"/>
    </row>
    <row r="15" spans="1:4" x14ac:dyDescent="0.25">
      <c r="A15">
        <v>4</v>
      </c>
    </row>
    <row r="22" spans="3:11" s="25" customFormat="1" x14ac:dyDescent="0.25">
      <c r="C22"/>
      <c r="D22"/>
      <c r="E22"/>
      <c r="F22"/>
      <c r="G22"/>
      <c r="H22"/>
      <c r="I22"/>
      <c r="J22"/>
      <c r="K2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790575</xdr:colOff>
                    <xdr:row>4</xdr:row>
                    <xdr:rowOff>9525</xdr:rowOff>
                  </from>
                  <to>
                    <xdr:col>3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icionarFuncionario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C2"/>
  <sheetViews>
    <sheetView workbookViewId="0">
      <selection activeCell="A3" sqref="A3"/>
    </sheetView>
  </sheetViews>
  <sheetFormatPr defaultRowHeight="15" x14ac:dyDescent="0.25"/>
  <cols>
    <col min="1" max="1" width="12.140625" customWidth="1"/>
    <col min="2" max="2" width="17.85546875" bestFit="1" customWidth="1"/>
    <col min="3" max="3" width="13.85546875" customWidth="1"/>
  </cols>
  <sheetData>
    <row r="1" spans="1:3" x14ac:dyDescent="0.25">
      <c r="A1" t="s">
        <v>28</v>
      </c>
      <c r="B1" t="s">
        <v>2</v>
      </c>
      <c r="C1" t="s">
        <v>68</v>
      </c>
    </row>
    <row r="2" spans="1:3" x14ac:dyDescent="0.25">
      <c r="A2">
        <v>4</v>
      </c>
      <c r="B2" t="str">
        <f>VLOOKUP(A2,tabela1,2,FALSE)</f>
        <v>Chefe de Expedição</v>
      </c>
      <c r="C2" s="8">
        <f>DSUM(tabfunc2,'Folha de Pagamento'!E5,A1:B2)</f>
        <v>15400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37</v>
      </c>
      <c r="B1" s="1" t="s">
        <v>36</v>
      </c>
      <c r="C1" s="1" t="s">
        <v>46</v>
      </c>
    </row>
    <row r="2" spans="1:3" x14ac:dyDescent="0.25">
      <c r="A2" t="s">
        <v>30</v>
      </c>
      <c r="B2" t="s">
        <v>47</v>
      </c>
      <c r="C2" t="s">
        <v>38</v>
      </c>
    </row>
    <row r="3" spans="1:3" x14ac:dyDescent="0.25">
      <c r="A3" t="s">
        <v>31</v>
      </c>
      <c r="B3" t="s">
        <v>64</v>
      </c>
    </row>
    <row r="4" spans="1:3" x14ac:dyDescent="0.25">
      <c r="A4" t="s">
        <v>57</v>
      </c>
      <c r="B4" t="s">
        <v>42</v>
      </c>
      <c r="C4" t="s">
        <v>38</v>
      </c>
    </row>
    <row r="5" spans="1:3" x14ac:dyDescent="0.25">
      <c r="A5" t="s">
        <v>58</v>
      </c>
      <c r="B5" t="s">
        <v>48</v>
      </c>
    </row>
    <row r="6" spans="1:3" x14ac:dyDescent="0.25">
      <c r="A6" t="s">
        <v>33</v>
      </c>
      <c r="B6" t="s">
        <v>49</v>
      </c>
    </row>
    <row r="7" spans="1:3" x14ac:dyDescent="0.25">
      <c r="A7" t="s">
        <v>34</v>
      </c>
      <c r="B7" t="s">
        <v>50</v>
      </c>
      <c r="C7" t="s">
        <v>38</v>
      </c>
    </row>
    <row r="8" spans="1:3" x14ac:dyDescent="0.25">
      <c r="A8" t="s">
        <v>59</v>
      </c>
      <c r="B8" t="s">
        <v>63</v>
      </c>
    </row>
    <row r="9" spans="1:3" x14ac:dyDescent="0.25">
      <c r="A9" t="s">
        <v>31</v>
      </c>
      <c r="B9" t="s">
        <v>40</v>
      </c>
      <c r="C9" t="s">
        <v>39</v>
      </c>
    </row>
    <row r="10" spans="1:3" x14ac:dyDescent="0.25">
      <c r="A10" t="s">
        <v>61</v>
      </c>
      <c r="B10" t="s">
        <v>44</v>
      </c>
      <c r="C10" t="s">
        <v>38</v>
      </c>
    </row>
    <row r="11" spans="1:3" x14ac:dyDescent="0.25">
      <c r="A11" t="s">
        <v>60</v>
      </c>
      <c r="B11" t="s">
        <v>55</v>
      </c>
    </row>
    <row r="12" spans="1:3" x14ac:dyDescent="0.25">
      <c r="A12" t="s">
        <v>56</v>
      </c>
      <c r="B12" t="s">
        <v>41</v>
      </c>
      <c r="C12" t="s">
        <v>39</v>
      </c>
    </row>
    <row r="13" spans="1:3" x14ac:dyDescent="0.25">
      <c r="A13" t="s">
        <v>32</v>
      </c>
      <c r="B13" t="s">
        <v>45</v>
      </c>
      <c r="C13" t="s">
        <v>38</v>
      </c>
    </row>
    <row r="14" spans="1:3" x14ac:dyDescent="0.25">
      <c r="A14" t="s">
        <v>34</v>
      </c>
      <c r="B14" t="s">
        <v>51</v>
      </c>
      <c r="C14" t="s">
        <v>38</v>
      </c>
    </row>
    <row r="15" spans="1:3" x14ac:dyDescent="0.25">
      <c r="A15" t="s">
        <v>62</v>
      </c>
      <c r="B15" t="s">
        <v>52</v>
      </c>
      <c r="C15" t="s">
        <v>38</v>
      </c>
    </row>
    <row r="16" spans="1:3" x14ac:dyDescent="0.25">
      <c r="A16" t="s">
        <v>35</v>
      </c>
      <c r="B16" t="s">
        <v>53</v>
      </c>
      <c r="C16" t="s">
        <v>38</v>
      </c>
    </row>
    <row r="17" spans="1:2" x14ac:dyDescent="0.25">
      <c r="A17" t="s">
        <v>31</v>
      </c>
      <c r="B17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C9" sqref="C9"/>
    </sheetView>
  </sheetViews>
  <sheetFormatPr defaultRowHeight="15" x14ac:dyDescent="0.25"/>
  <cols>
    <col min="2" max="2" width="23.85546875" bestFit="1" customWidth="1"/>
    <col min="4" max="4" width="14.7109375" customWidth="1"/>
  </cols>
  <sheetData>
    <row r="1" spans="1:3" x14ac:dyDescent="0.25">
      <c r="A1" s="28" t="s">
        <v>27</v>
      </c>
      <c r="B1" s="28"/>
      <c r="C1" s="28"/>
    </row>
    <row r="2" spans="1:3" x14ac:dyDescent="0.25">
      <c r="A2" s="1" t="s">
        <v>13</v>
      </c>
      <c r="B2" s="1" t="s">
        <v>2</v>
      </c>
      <c r="C2" s="1" t="s">
        <v>65</v>
      </c>
    </row>
    <row r="3" spans="1:3" x14ac:dyDescent="0.25">
      <c r="A3">
        <v>1</v>
      </c>
      <c r="B3" t="s">
        <v>14</v>
      </c>
      <c r="C3">
        <v>10</v>
      </c>
    </row>
    <row r="4" spans="1:3" x14ac:dyDescent="0.25">
      <c r="A4">
        <v>2</v>
      </c>
      <c r="B4" t="s">
        <v>15</v>
      </c>
      <c r="C4">
        <v>6</v>
      </c>
    </row>
    <row r="5" spans="1:3" x14ac:dyDescent="0.25">
      <c r="A5">
        <v>3</v>
      </c>
      <c r="B5" t="s">
        <v>16</v>
      </c>
      <c r="C5">
        <v>15</v>
      </c>
    </row>
    <row r="6" spans="1:3" x14ac:dyDescent="0.25">
      <c r="A6">
        <v>4</v>
      </c>
      <c r="B6" t="s">
        <v>17</v>
      </c>
      <c r="C6">
        <v>7</v>
      </c>
    </row>
    <row r="7" spans="1:3" x14ac:dyDescent="0.25">
      <c r="A7">
        <v>5</v>
      </c>
      <c r="B7" t="s">
        <v>18</v>
      </c>
      <c r="C7">
        <v>13</v>
      </c>
    </row>
    <row r="8" spans="1:3" x14ac:dyDescent="0.25">
      <c r="A8">
        <v>6</v>
      </c>
      <c r="B8" t="s">
        <v>19</v>
      </c>
      <c r="C8">
        <v>20</v>
      </c>
    </row>
  </sheetData>
  <mergeCells count="1">
    <mergeCell ref="A1:C1"/>
  </mergeCells>
  <dataValidations count="2">
    <dataValidation type="textLength" errorStyle="warning" operator="equal" allowBlank="1" showInputMessage="1" showErrorMessage="1" error="Insira no máximo 25!" prompt="No máximo 25!" sqref="B3:B8">
      <formula1>25</formula1>
    </dataValidation>
    <dataValidation type="whole" errorStyle="warning" allowBlank="1" showInputMessage="1" showErrorMessage="1" error="Insira valores entre 1 e 20!" prompt="Valores entre 1 e 20." sqref="C3:C8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A4" sqref="A4:C7"/>
    </sheetView>
  </sheetViews>
  <sheetFormatPr defaultRowHeight="15" x14ac:dyDescent="0.25"/>
  <sheetData>
    <row r="1" spans="1:3" x14ac:dyDescent="0.25">
      <c r="A1" s="28" t="s">
        <v>5</v>
      </c>
      <c r="B1" s="28"/>
      <c r="C1" s="28"/>
    </row>
    <row r="2" spans="1:3" x14ac:dyDescent="0.25">
      <c r="A2" s="28" t="s">
        <v>20</v>
      </c>
      <c r="B2" s="28"/>
      <c r="C2" s="29" t="s">
        <v>23</v>
      </c>
    </row>
    <row r="3" spans="1:3" x14ac:dyDescent="0.25">
      <c r="A3" s="3" t="s">
        <v>21</v>
      </c>
      <c r="B3" s="3" t="s">
        <v>22</v>
      </c>
      <c r="C3" s="29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24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C11"/>
  <sheetViews>
    <sheetView workbookViewId="0">
      <selection activeCell="A4" sqref="A4:C11"/>
    </sheetView>
  </sheetViews>
  <sheetFormatPr defaultRowHeight="15" x14ac:dyDescent="0.25"/>
  <sheetData>
    <row r="1" spans="1:3" x14ac:dyDescent="0.25">
      <c r="A1" s="28" t="s">
        <v>26</v>
      </c>
      <c r="B1" s="28"/>
      <c r="C1" s="28"/>
    </row>
    <row r="2" spans="1:3" x14ac:dyDescent="0.25">
      <c r="A2" s="28" t="s">
        <v>20</v>
      </c>
      <c r="B2" s="28"/>
      <c r="C2" s="29" t="s">
        <v>23</v>
      </c>
    </row>
    <row r="3" spans="1:3" x14ac:dyDescent="0.25">
      <c r="A3" s="3" t="s">
        <v>21</v>
      </c>
      <c r="B3" s="3" t="s">
        <v>22</v>
      </c>
      <c r="C3" s="29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24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Folha de Pagamento</vt:lpstr>
      <vt:lpstr>Cadastro</vt:lpstr>
      <vt:lpstr>Cargos Folha</vt:lpstr>
      <vt:lpstr>Funcionários</vt:lpstr>
      <vt:lpstr>Cargos</vt:lpstr>
      <vt:lpstr>INSS</vt:lpstr>
      <vt:lpstr>IRRF</vt:lpstr>
      <vt:lpstr>'Folha de Pagamento'!cotacao</vt:lpstr>
      <vt:lpstr>SalariosBrutos</vt:lpstr>
      <vt:lpstr>SalariosLiquidos</vt:lpstr>
      <vt:lpstr>tabela1</vt:lpstr>
      <vt:lpstr>tabela3</vt:lpstr>
      <vt:lpstr>tabela7</vt:lpstr>
      <vt:lpstr>tabfunc</vt:lpstr>
      <vt:lpstr>tabfunc2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2021-11-06T17:45:31Z</dcterms:modified>
</cp:coreProperties>
</file>