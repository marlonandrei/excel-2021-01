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NOTEBOOK\excel-2021-01\katia\"/>
    </mc:Choice>
  </mc:AlternateContent>
  <bookViews>
    <workbookView xWindow="0" yWindow="0" windowWidth="28800" windowHeight="12330"/>
  </bookViews>
  <sheets>
    <sheet name="Financiamento" sheetId="1" r:id="rId1"/>
    <sheet name="Planilha3" sheetId="3" r:id="rId2"/>
    <sheet name="Macro" sheetId="2" r:id="rId3"/>
  </sheets>
  <definedNames>
    <definedName name="PRODUTOS">Macro!$A$2:$C$5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Financiamento!$A$1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8" i="1" l="1"/>
  <c r="C9" i="1"/>
  <c r="C10" i="1"/>
  <c r="C11" i="1"/>
</calcChain>
</file>

<file path=xl/sharedStrings.xml><?xml version="1.0" encoding="utf-8"?>
<sst xmlns="http://schemas.openxmlformats.org/spreadsheetml/2006/main" count="37" uniqueCount="22">
  <si>
    <t>Número de vínculo</t>
  </si>
  <si>
    <t>Valores</t>
  </si>
  <si>
    <t>DVD</t>
  </si>
  <si>
    <t>Celular 2 Chips</t>
  </si>
  <si>
    <t>Produto</t>
  </si>
  <si>
    <t>Celular</t>
  </si>
  <si>
    <t>Blue-ray</t>
  </si>
  <si>
    <t xml:space="preserve">Nome do Produto: </t>
  </si>
  <si>
    <t>Valor do Produto:</t>
  </si>
  <si>
    <t>Taxa de juros:</t>
  </si>
  <si>
    <t>Nome do Produto</t>
  </si>
  <si>
    <t>Parcelamento</t>
  </si>
  <si>
    <t>Valor do Prod.</t>
  </si>
  <si>
    <t>Valor Parc.</t>
  </si>
  <si>
    <t>Cartão</t>
  </si>
  <si>
    <t>PARCELAMENTOS APROVADOS</t>
  </si>
  <si>
    <t>DÉBITO</t>
  </si>
  <si>
    <t>ACIMA 6</t>
  </si>
  <si>
    <t>6 VEZES</t>
  </si>
  <si>
    <t>3 VEZES</t>
  </si>
  <si>
    <t>À VISTA</t>
  </si>
  <si>
    <t>CRÉDITODÉBITO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</si>
</sst>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R$-416]\ * #,##0.00_-;\-[$R$-416]\ * #,##0.00_-;_-[$R$-416]\ * &quot;-&quot;??_-;_-@_-"/>
  </numFmts>
  <fonts count="2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2" xfId="0" applyFill="1" applyBorder="1"/>
    <xf numFmtId="0" fontId="0" fillId="2" borderId="1" xfId="0" applyFill="1" applyBorder="1"/>
    <xf numFmtId="164" fontId="0" fillId="0" borderId="2" xfId="0" applyNumberFormat="1" applyBorder="1"/>
    <xf numFmtId="164" fontId="0" fillId="2" borderId="1" xfId="0" applyNumberFormat="1" applyFill="1" applyBorder="1"/>
    <xf numFmtId="0" fontId="0" fillId="2" borderId="11" xfId="0" applyFill="1" applyBorder="1"/>
    <xf numFmtId="9" fontId="0" fillId="0" borderId="2" xfId="0" applyNumberFormat="1" applyBorder="1"/>
    <xf numFmtId="0" fontId="0" fillId="3" borderId="11" xfId="0" applyFill="1" applyBorder="1"/>
    <xf numFmtId="0" fontId="0" fillId="3" borderId="2" xfId="0" applyFill="1" applyBorder="1"/>
    <xf numFmtId="0" fontId="0" fillId="3" borderId="1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0" fillId="0" borderId="0" xfId="0" applyNumberFormat="1"/>
    <xf numFmtId="0" fontId="0" fillId="3" borderId="0" xfId="0" applyFill="1" applyBorder="1"/>
    <xf numFmtId="164" fontId="0" fillId="3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Financiamento!$F$1" fmlaRange="Macro!$B$2:$B$5" sel="3" val="0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checked="Checked" firstButton="1" fmlaLink="A16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Scroll" dx="22" fmlaLink="C12" horiz="1" max="24" min="7" page="10" val="12"/>
</file>

<file path=xl/ctrlProps/ctrlProp8.xml><?xml version="1.0" encoding="utf-8"?>
<formControlPr xmlns="http://schemas.microsoft.com/office/spreadsheetml/2009/9/main" objectType="CheckBox" checked="Checked" fmlaLink="B16" lockText="1"/>
</file>

<file path=xl/ctrlProps/ctrlProp9.xml><?xml version="1.0" encoding="utf-8"?>
<formControlPr xmlns="http://schemas.microsoft.com/office/spreadsheetml/2009/9/main" objectType="CheckBox" checked="Checked" fmlaLink="C16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1</xdr:row>
          <xdr:rowOff>180975</xdr:rowOff>
        </xdr:from>
        <xdr:to>
          <xdr:col>2</xdr:col>
          <xdr:colOff>981075</xdr:colOff>
          <xdr:row>3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180975</xdr:rowOff>
        </xdr:from>
        <xdr:to>
          <xdr:col>2</xdr:col>
          <xdr:colOff>981075</xdr:colOff>
          <xdr:row>13</xdr:row>
          <xdr:rowOff>9525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FORMA DE 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28575</xdr:rowOff>
        </xdr:from>
        <xdr:to>
          <xdr:col>1</xdr:col>
          <xdr:colOff>1123950</xdr:colOff>
          <xdr:row>7</xdr:row>
          <xdr:rowOff>171450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Á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180975</xdr:rowOff>
        </xdr:from>
        <xdr:to>
          <xdr:col>1</xdr:col>
          <xdr:colOff>1114425</xdr:colOff>
          <xdr:row>9</xdr:row>
          <xdr:rowOff>9525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 Vezes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</xdr:row>
          <xdr:rowOff>161925</xdr:rowOff>
        </xdr:from>
        <xdr:to>
          <xdr:col>1</xdr:col>
          <xdr:colOff>1104900</xdr:colOff>
          <xdr:row>9</xdr:row>
          <xdr:rowOff>180975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 Vezes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0</xdr:rowOff>
        </xdr:from>
        <xdr:to>
          <xdr:col>1</xdr:col>
          <xdr:colOff>1171575</xdr:colOff>
          <xdr:row>11</xdr:row>
          <xdr:rowOff>19050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Acima de 6 vezes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11</xdr:row>
          <xdr:rowOff>19050</xdr:rowOff>
        </xdr:from>
        <xdr:to>
          <xdr:col>1</xdr:col>
          <xdr:colOff>1104900</xdr:colOff>
          <xdr:row>11</xdr:row>
          <xdr:rowOff>180975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13</xdr:row>
          <xdr:rowOff>180975</xdr:rowOff>
        </xdr:from>
        <xdr:to>
          <xdr:col>1</xdr:col>
          <xdr:colOff>1123950</xdr:colOff>
          <xdr:row>15</xdr:row>
          <xdr:rowOff>9525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CRÉDITO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13</xdr:row>
          <xdr:rowOff>171450</xdr:rowOff>
        </xdr:from>
        <xdr:to>
          <xdr:col>2</xdr:col>
          <xdr:colOff>895350</xdr:colOff>
          <xdr:row>15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DÉBITO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14</xdr:row>
          <xdr:rowOff>19050</xdr:rowOff>
        </xdr:from>
        <xdr:to>
          <xdr:col>0</xdr:col>
          <xdr:colOff>1019175</xdr:colOff>
          <xdr:row>14</xdr:row>
          <xdr:rowOff>161925</xdr:rowOff>
        </xdr:to>
        <xdr:sp macro="" textlink="">
          <xdr:nvSpPr>
            <xdr:cNvPr id="1039" name="Label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CARTÕES: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619124</xdr:colOff>
          <xdr:row>12</xdr:row>
          <xdr:rowOff>9524</xdr:rowOff>
        </xdr:from>
        <xdr:to>
          <xdr:col>4</xdr:col>
          <xdr:colOff>533399</xdr:colOff>
          <xdr:row>13</xdr:row>
          <xdr:rowOff>19049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F27"/>
  <sheetViews>
    <sheetView tabSelected="1" workbookViewId="0">
      <selection activeCell="J13" sqref="J13"/>
    </sheetView>
  </sheetViews>
  <sheetFormatPr defaultRowHeight="15" x14ac:dyDescent="0.25"/>
  <cols>
    <col min="1" max="1" width="17.140625" customWidth="1"/>
    <col min="2" max="2" width="17.7109375" customWidth="1"/>
    <col min="3" max="3" width="15.140625" customWidth="1"/>
    <col min="4" max="4" width="13.42578125" customWidth="1"/>
    <col min="5" max="5" width="11.140625" customWidth="1"/>
    <col min="6" max="6" width="14.42578125" customWidth="1"/>
  </cols>
  <sheetData>
    <row r="1" spans="1:6" ht="15.75" thickBot="1" x14ac:dyDescent="0.3">
      <c r="A1" s="3" t="s">
        <v>9</v>
      </c>
      <c r="B1" s="4"/>
      <c r="C1" s="16">
        <v>0.02</v>
      </c>
      <c r="D1" s="4"/>
      <c r="E1" s="5"/>
      <c r="F1" s="11">
        <v>3</v>
      </c>
    </row>
    <row r="2" spans="1:6" x14ac:dyDescent="0.25">
      <c r="A2" s="6"/>
      <c r="B2" s="7"/>
      <c r="C2" s="7"/>
      <c r="D2" s="7"/>
      <c r="E2" s="8"/>
    </row>
    <row r="3" spans="1:6" x14ac:dyDescent="0.25">
      <c r="A3" s="6" t="s">
        <v>7</v>
      </c>
      <c r="B3" s="7"/>
      <c r="C3" s="7"/>
      <c r="D3" s="7"/>
      <c r="E3" s="8"/>
    </row>
    <row r="4" spans="1:6" ht="15.75" thickBot="1" x14ac:dyDescent="0.3">
      <c r="A4" s="6"/>
      <c r="B4" s="7"/>
      <c r="C4" s="7"/>
      <c r="D4" s="7"/>
      <c r="E4" s="8"/>
    </row>
    <row r="5" spans="1:6" ht="15.75" thickBot="1" x14ac:dyDescent="0.3">
      <c r="A5" s="6" t="s">
        <v>8</v>
      </c>
      <c r="B5" s="7"/>
      <c r="C5" s="13">
        <f>VLOOKUP(F1,PRODUTOS,3)</f>
        <v>220</v>
      </c>
      <c r="D5" s="7"/>
      <c r="E5" s="8"/>
    </row>
    <row r="6" spans="1:6" x14ac:dyDescent="0.25">
      <c r="A6" s="6"/>
      <c r="B6" s="7"/>
      <c r="C6" s="7"/>
      <c r="D6" s="7"/>
      <c r="E6" s="8"/>
    </row>
    <row r="7" spans="1:6" x14ac:dyDescent="0.25">
      <c r="A7" s="6"/>
      <c r="B7" s="7"/>
      <c r="C7" s="7"/>
      <c r="D7" s="7"/>
      <c r="E7" s="8"/>
    </row>
    <row r="8" spans="1:6" x14ac:dyDescent="0.25">
      <c r="A8" s="6"/>
      <c r="B8" s="7"/>
      <c r="C8" s="14">
        <f>IF(A$16=1,C$5,"")</f>
        <v>220</v>
      </c>
      <c r="D8" s="7"/>
      <c r="E8" s="8"/>
    </row>
    <row r="9" spans="1:6" x14ac:dyDescent="0.25">
      <c r="A9" s="6"/>
      <c r="B9" s="7"/>
      <c r="C9" s="14" t="str">
        <f>IF(A16=2,FV(C1,3,,-C5)/3,"")</f>
        <v/>
      </c>
      <c r="D9" s="7"/>
      <c r="E9" s="8"/>
    </row>
    <row r="10" spans="1:6" x14ac:dyDescent="0.25">
      <c r="A10" s="6"/>
      <c r="B10" s="7"/>
      <c r="C10" s="14" t="str">
        <f>IF(A16=3,FV(C1,6,,-C5)/6,"")</f>
        <v/>
      </c>
      <c r="D10" s="7"/>
      <c r="E10" s="8"/>
    </row>
    <row r="11" spans="1:6" x14ac:dyDescent="0.25">
      <c r="A11" s="6"/>
      <c r="B11" s="7"/>
      <c r="C11" s="14" t="str">
        <f>IF(A16=4,FV(C1,C12,,-C5)/C12,"")</f>
        <v/>
      </c>
      <c r="D11" s="7"/>
      <c r="E11" s="8"/>
    </row>
    <row r="12" spans="1:6" x14ac:dyDescent="0.25">
      <c r="A12" s="6"/>
      <c r="B12" s="7"/>
      <c r="C12" s="12">
        <v>12</v>
      </c>
      <c r="D12" s="7"/>
      <c r="E12" s="8"/>
    </row>
    <row r="13" spans="1:6" x14ac:dyDescent="0.25">
      <c r="A13" s="6"/>
      <c r="B13" s="7"/>
      <c r="C13" s="7"/>
      <c r="D13" s="7"/>
      <c r="E13" s="8"/>
    </row>
    <row r="14" spans="1:6" x14ac:dyDescent="0.25">
      <c r="A14" s="6"/>
      <c r="B14" s="7"/>
      <c r="C14" s="7"/>
      <c r="D14" s="7"/>
      <c r="E14" s="8"/>
    </row>
    <row r="15" spans="1:6" ht="15.75" thickBot="1" x14ac:dyDescent="0.3">
      <c r="A15" s="6"/>
      <c r="B15" s="9"/>
      <c r="C15" s="9"/>
      <c r="D15" s="9"/>
      <c r="E15" s="10"/>
    </row>
    <row r="16" spans="1:6" ht="15.75" thickBot="1" x14ac:dyDescent="0.3">
      <c r="A16" s="11">
        <v>1</v>
      </c>
      <c r="B16" s="11" t="b">
        <v>1</v>
      </c>
      <c r="C16" s="15" t="b">
        <v>1</v>
      </c>
    </row>
    <row r="17" spans="1:5" ht="15.75" thickBot="1" x14ac:dyDescent="0.3"/>
    <row r="18" spans="1:5" ht="15.75" thickBot="1" x14ac:dyDescent="0.3">
      <c r="A18" s="19" t="s">
        <v>15</v>
      </c>
      <c r="B18" s="20"/>
      <c r="C18" s="20"/>
      <c r="D18" s="20"/>
      <c r="E18" s="21"/>
    </row>
    <row r="19" spans="1:5" ht="15.75" thickBot="1" x14ac:dyDescent="0.3">
      <c r="A19" s="18" t="s">
        <v>14</v>
      </c>
      <c r="B19" s="18" t="s">
        <v>10</v>
      </c>
      <c r="C19" s="18" t="s">
        <v>11</v>
      </c>
      <c r="D19" s="18" t="s">
        <v>12</v>
      </c>
      <c r="E19" s="17" t="s">
        <v>13</v>
      </c>
    </row>
    <row r="20" spans="1:5" x14ac:dyDescent="0.25">
      <c r="A20" s="23" t="s">
        <v>21</v>
      </c>
      <c r="B20" s="23" t="s">
        <v>3</v>
      </c>
      <c r="C20" s="23" t="s">
        <v>20</v>
      </c>
      <c r="D20" s="24">
        <v>220</v>
      </c>
      <c r="E20" s="24">
        <v>220</v>
      </c>
    </row>
    <row r="21" spans="1:5" x14ac:dyDescent="0.25">
      <c r="A21" s="23" t="s">
        <v>16</v>
      </c>
      <c r="B21" s="23" t="s">
        <v>3</v>
      </c>
      <c r="C21" s="23" t="s">
        <v>20</v>
      </c>
      <c r="D21" s="24">
        <v>220</v>
      </c>
      <c r="E21" s="24">
        <v>220</v>
      </c>
    </row>
    <row r="22" spans="1:5" x14ac:dyDescent="0.25">
      <c r="A22" s="23" t="s">
        <v>16</v>
      </c>
      <c r="B22" s="23" t="s">
        <v>3</v>
      </c>
      <c r="C22" s="23" t="s">
        <v>19</v>
      </c>
      <c r="D22" s="24">
        <v>220</v>
      </c>
      <c r="E22" s="24">
        <v>77.821919999999992</v>
      </c>
    </row>
    <row r="23" spans="1:5" x14ac:dyDescent="0.25">
      <c r="A23" s="23" t="s">
        <v>16</v>
      </c>
      <c r="B23" s="23" t="s">
        <v>3</v>
      </c>
      <c r="C23" s="23" t="s">
        <v>18</v>
      </c>
      <c r="D23" s="24">
        <v>220</v>
      </c>
      <c r="E23" s="24">
        <v>41.292622039680005</v>
      </c>
    </row>
    <row r="24" spans="1:5" x14ac:dyDescent="0.25">
      <c r="A24" s="23" t="s">
        <v>16</v>
      </c>
      <c r="B24" s="23" t="s">
        <v>6</v>
      </c>
      <c r="C24" s="23" t="s">
        <v>17</v>
      </c>
      <c r="D24" s="24">
        <v>200</v>
      </c>
      <c r="E24" s="24">
        <v>21.137363242709089</v>
      </c>
    </row>
    <row r="25" spans="1:5" x14ac:dyDescent="0.25">
      <c r="A25" s="23" t="s">
        <v>16</v>
      </c>
      <c r="B25" s="23" t="s">
        <v>6</v>
      </c>
      <c r="C25" s="23" t="s">
        <v>17</v>
      </c>
      <c r="D25" s="24">
        <v>200</v>
      </c>
      <c r="E25" s="24">
        <v>21.137363242709089</v>
      </c>
    </row>
    <row r="26" spans="1:5" x14ac:dyDescent="0.25">
      <c r="A26" s="23" t="s">
        <v>16</v>
      </c>
      <c r="B26" s="23" t="s">
        <v>6</v>
      </c>
      <c r="C26" s="23" t="s">
        <v>17</v>
      </c>
      <c r="D26" s="24">
        <v>200</v>
      </c>
      <c r="E26" s="24">
        <v>21.137363242709089</v>
      </c>
    </row>
    <row r="27" spans="1:5" x14ac:dyDescent="0.25">
      <c r="D27" s="22"/>
    </row>
  </sheetData>
  <mergeCells count="1">
    <mergeCell ref="A18:E1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1</xdr:col>
                    <xdr:colOff>342900</xdr:colOff>
                    <xdr:row>1</xdr:row>
                    <xdr:rowOff>180975</xdr:rowOff>
                  </from>
                  <to>
                    <xdr:col>2</xdr:col>
                    <xdr:colOff>981075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Group Box 3">
              <controlPr defaultSize="0" autoFill="0" autoPict="0">
                <anchor moveWithCells="1">
                  <from>
                    <xdr:col>1</xdr:col>
                    <xdr:colOff>9525</xdr:colOff>
                    <xdr:row>5</xdr:row>
                    <xdr:rowOff>180975</xdr:rowOff>
                  </from>
                  <to>
                    <xdr:col>2</xdr:col>
                    <xdr:colOff>981075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Option Button 5">
              <controlPr defaultSize="0" autoFill="0" autoLine="0" autoPict="0">
                <anchor moveWithCells="1">
                  <from>
                    <xdr:col>1</xdr:col>
                    <xdr:colOff>47625</xdr:colOff>
                    <xdr:row>7</xdr:row>
                    <xdr:rowOff>28575</xdr:rowOff>
                  </from>
                  <to>
                    <xdr:col>1</xdr:col>
                    <xdr:colOff>1123950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Option Button 8">
              <controlPr defaultSize="0" autoFill="0" autoLine="0" autoPict="0">
                <anchor moveWithCells="1">
                  <from>
                    <xdr:col>1</xdr:col>
                    <xdr:colOff>38100</xdr:colOff>
                    <xdr:row>7</xdr:row>
                    <xdr:rowOff>180975</xdr:rowOff>
                  </from>
                  <to>
                    <xdr:col>1</xdr:col>
                    <xdr:colOff>1114425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Option Button 9">
              <controlPr defaultSize="0" autoFill="0" autoLine="0" autoPict="0">
                <anchor moveWithCells="1">
                  <from>
                    <xdr:col>1</xdr:col>
                    <xdr:colOff>28575</xdr:colOff>
                    <xdr:row>8</xdr:row>
                    <xdr:rowOff>161925</xdr:rowOff>
                  </from>
                  <to>
                    <xdr:col>1</xdr:col>
                    <xdr:colOff>1104900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tion Button 10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0</xdr:rowOff>
                  </from>
                  <to>
                    <xdr:col>1</xdr:col>
                    <xdr:colOff>1171575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Scroll Bar 11">
              <controlPr defaultSize="0" autoPict="0">
                <anchor moveWithCells="1">
                  <from>
                    <xdr:col>1</xdr:col>
                    <xdr:colOff>133350</xdr:colOff>
                    <xdr:row>11</xdr:row>
                    <xdr:rowOff>19050</xdr:rowOff>
                  </from>
                  <to>
                    <xdr:col>1</xdr:col>
                    <xdr:colOff>1104900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>
                <anchor moveWithCells="1">
                  <from>
                    <xdr:col>1</xdr:col>
                    <xdr:colOff>19050</xdr:colOff>
                    <xdr:row>13</xdr:row>
                    <xdr:rowOff>180975</xdr:rowOff>
                  </from>
                  <to>
                    <xdr:col>1</xdr:col>
                    <xdr:colOff>1123950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2</xdr:col>
                    <xdr:colOff>57150</xdr:colOff>
                    <xdr:row>13</xdr:row>
                    <xdr:rowOff>171450</xdr:rowOff>
                  </from>
                  <to>
                    <xdr:col>2</xdr:col>
                    <xdr:colOff>895350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Label 15">
              <controlPr defaultSize="0" autoFill="0" autoLine="0" autoPict="0">
                <anchor moveWithCells="1" sizeWithCells="1">
                  <from>
                    <xdr:col>0</xdr:col>
                    <xdr:colOff>180975</xdr:colOff>
                    <xdr:row>14</xdr:row>
                    <xdr:rowOff>19050</xdr:rowOff>
                  </from>
                  <to>
                    <xdr:col>0</xdr:col>
                    <xdr:colOff>1019175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adicionarParcelamento">
                <anchor moveWithCells="1" sizeWithCells="1">
                  <from>
                    <xdr:col>3</xdr:col>
                    <xdr:colOff>619125</xdr:colOff>
                    <xdr:row>12</xdr:row>
                    <xdr:rowOff>9525</xdr:rowOff>
                  </from>
                  <to>
                    <xdr:col>4</xdr:col>
                    <xdr:colOff>533400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5"/>
  <sheetViews>
    <sheetView workbookViewId="0">
      <selection activeCell="E31" sqref="E31"/>
    </sheetView>
  </sheetViews>
  <sheetFormatPr defaultRowHeight="15" x14ac:dyDescent="0.25"/>
  <cols>
    <col min="1" max="1" width="19.42578125" customWidth="1"/>
    <col min="2" max="2" width="15.140625" customWidth="1"/>
    <col min="3" max="3" width="10.5703125" bestFit="1" customWidth="1"/>
  </cols>
  <sheetData>
    <row r="1" spans="1:3" x14ac:dyDescent="0.25">
      <c r="A1" s="1" t="s">
        <v>0</v>
      </c>
      <c r="B1" s="1" t="s">
        <v>4</v>
      </c>
      <c r="C1" s="1" t="s">
        <v>1</v>
      </c>
    </row>
    <row r="2" spans="1:3" x14ac:dyDescent="0.25">
      <c r="A2" s="1">
        <v>1</v>
      </c>
      <c r="B2" s="1" t="s">
        <v>6</v>
      </c>
      <c r="C2" s="2">
        <v>200</v>
      </c>
    </row>
    <row r="3" spans="1:3" x14ac:dyDescent="0.25">
      <c r="A3" s="1">
        <v>2</v>
      </c>
      <c r="B3" s="1" t="s">
        <v>5</v>
      </c>
      <c r="C3" s="2">
        <v>150</v>
      </c>
    </row>
    <row r="4" spans="1:3" x14ac:dyDescent="0.25">
      <c r="A4" s="1">
        <v>3</v>
      </c>
      <c r="B4" s="1" t="s">
        <v>3</v>
      </c>
      <c r="C4" s="2">
        <v>220</v>
      </c>
    </row>
    <row r="5" spans="1:3" x14ac:dyDescent="0.25">
      <c r="A5" s="1">
        <v>4</v>
      </c>
      <c r="B5" s="1" t="s">
        <v>2</v>
      </c>
      <c r="C5" s="2">
        <v>90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Financiamento</vt:lpstr>
      <vt:lpstr>Planilha3</vt:lpstr>
      <vt:lpstr>Macro</vt:lpstr>
      <vt:lpstr>PRODUTOS</vt:lpstr>
    </vt:vector>
  </TitlesOfParts>
  <Company>SESI SENAI 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2021-10-30T17:04:18Z</dcterms:created>
  <dcterms:modified xsi:type="dcterms:W3CDTF">2021-10-30T19:45:09Z</dcterms:modified>
</cp:coreProperties>
</file>