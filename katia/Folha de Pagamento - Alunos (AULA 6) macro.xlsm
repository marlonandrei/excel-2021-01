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katia\"/>
    </mc:Choice>
  </mc:AlternateContent>
  <bookViews>
    <workbookView xWindow="-105" yWindow="-105" windowWidth="23250" windowHeight="12570"/>
  </bookViews>
  <sheets>
    <sheet name="Folha de Pagamento" sheetId="1" r:id="rId1"/>
    <sheet name="CADASTRO" sheetId="14" r:id="rId2"/>
    <sheet name="CARGO FOLHA" sheetId="10" r:id="rId3"/>
    <sheet name="Funcionários" sheetId="9" r:id="rId4"/>
    <sheet name="Cargos" sheetId="2" r:id="rId5"/>
    <sheet name="INSS" sheetId="3" r:id="rId6"/>
    <sheet name="IRRF" sheetId="4" r:id="rId7"/>
    <sheet name="Valor do dólar" sheetId="12" r:id="rId8"/>
    <sheet name="Exercício" sheetId="13" r:id="rId9"/>
  </sheets>
  <definedNames>
    <definedName name="CARGOS">Cargos!$A$3:$C$8</definedName>
    <definedName name="cotacao" localSheetId="7">'Valor do dólar'!$A$1:$N$21</definedName>
    <definedName name="FUNCIONARIOS">'Folha de Pagamento'!$A$6:$K$21</definedName>
    <definedName name="FUNCIONARIOS2">'Folha de Pagamento'!$A$5:$K$21</definedName>
    <definedName name="INSS">INSS!$A$4:$C$7</definedName>
    <definedName name="INSSs">'Folha de Pagamento'!$F$6:$F$21</definedName>
    <definedName name="IRRF">IRRF!$A$4:$C$11</definedName>
    <definedName name="SalariosBrutos">'Folha de Pagamento'!$E$6:$E$21</definedName>
    <definedName name="SalariosLiquidos">'Folha de Pagamento'!$K$6:$K$21</definedName>
    <definedName name="TABELACARGO">Cargos!$A$2:$C$8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2" i="1" l="1"/>
  <c r="D22" i="1"/>
  <c r="C22" i="1"/>
  <c r="E22" i="1" l="1"/>
  <c r="Q25" i="12"/>
  <c r="I22" i="1" l="1"/>
  <c r="F22" i="1"/>
  <c r="J22" i="1" s="1"/>
  <c r="K22" i="1" s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6" i="1"/>
  <c r="B2" i="10" l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N15" i="1"/>
  <c r="O15" i="1" s="1"/>
  <c r="N16" i="1"/>
  <c r="O16" i="1" s="1"/>
  <c r="N17" i="1"/>
  <c r="O17" i="1" s="1"/>
  <c r="N18" i="1"/>
  <c r="O18" i="1" s="1"/>
  <c r="N19" i="1"/>
  <c r="O19" i="1" s="1"/>
  <c r="N20" i="1"/>
  <c r="O20" i="1" s="1"/>
  <c r="N21" i="1"/>
  <c r="O21" i="1" s="1"/>
  <c r="N6" i="1"/>
  <c r="O6" i="1" s="1"/>
  <c r="D6" i="1"/>
  <c r="E6" i="1" s="1"/>
  <c r="D7" i="1"/>
  <c r="E7" i="1" s="1"/>
  <c r="I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3" i="1"/>
  <c r="D24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I12" i="1" l="1"/>
  <c r="I19" i="1"/>
  <c r="I15" i="1"/>
  <c r="I11" i="1"/>
  <c r="I20" i="1"/>
  <c r="I8" i="1"/>
  <c r="I18" i="1"/>
  <c r="I14" i="1"/>
  <c r="I10" i="1"/>
  <c r="I16" i="1"/>
  <c r="I21" i="1"/>
  <c r="I17" i="1"/>
  <c r="I9" i="1"/>
  <c r="F9" i="1"/>
  <c r="E13" i="1"/>
  <c r="F21" i="1"/>
  <c r="F17" i="1"/>
  <c r="F20" i="1"/>
  <c r="F16" i="1"/>
  <c r="F12" i="1"/>
  <c r="F8" i="1"/>
  <c r="F19" i="1"/>
  <c r="F15" i="1"/>
  <c r="J15" i="1" s="1"/>
  <c r="K15" i="1" s="1"/>
  <c r="F11" i="1"/>
  <c r="J11" i="1" s="1"/>
  <c r="K11" i="1" s="1"/>
  <c r="F7" i="1"/>
  <c r="J7" i="1" s="1"/>
  <c r="K7" i="1" s="1"/>
  <c r="F6" i="1"/>
  <c r="F18" i="1"/>
  <c r="J18" i="1" s="1"/>
  <c r="K18" i="1" s="1"/>
  <c r="F14" i="1"/>
  <c r="F10" i="1"/>
  <c r="I6" i="1"/>
  <c r="J6" i="1" s="1"/>
  <c r="K6" i="1" s="1"/>
  <c r="C2" i="10"/>
  <c r="J12" i="1" l="1"/>
  <c r="K12" i="1" s="1"/>
  <c r="E3" i="13"/>
  <c r="D6" i="13"/>
  <c r="D3" i="13"/>
  <c r="D7" i="13"/>
  <c r="D11" i="13"/>
  <c r="C4" i="13"/>
  <c r="C8" i="13"/>
  <c r="C12" i="13"/>
  <c r="E2" i="13"/>
  <c r="B6" i="13"/>
  <c r="B10" i="13"/>
  <c r="B2" i="13"/>
  <c r="D4" i="13"/>
  <c r="D8" i="13"/>
  <c r="D12" i="13"/>
  <c r="C5" i="13"/>
  <c r="C9" i="13"/>
  <c r="C13" i="13"/>
  <c r="B3" i="13"/>
  <c r="B7" i="13"/>
  <c r="B11" i="13"/>
  <c r="D5" i="13"/>
  <c r="D9" i="13"/>
  <c r="D13" i="13"/>
  <c r="C6" i="13"/>
  <c r="C10" i="13"/>
  <c r="C2" i="13"/>
  <c r="B4" i="13"/>
  <c r="B8" i="13"/>
  <c r="B12" i="13"/>
  <c r="E4" i="13"/>
  <c r="D10" i="13"/>
  <c r="C3" i="13"/>
  <c r="C7" i="13"/>
  <c r="C11" i="13"/>
  <c r="D2" i="13"/>
  <c r="B5" i="13"/>
  <c r="B9" i="13"/>
  <c r="B13" i="13"/>
  <c r="J19" i="1"/>
  <c r="K19" i="1" s="1"/>
  <c r="J10" i="1"/>
  <c r="K10" i="1" s="1"/>
  <c r="J20" i="1"/>
  <c r="K20" i="1" s="1"/>
  <c r="J9" i="1"/>
  <c r="K9" i="1" s="1"/>
  <c r="J21" i="1"/>
  <c r="K21" i="1" s="1"/>
  <c r="J14" i="1"/>
  <c r="K14" i="1" s="1"/>
  <c r="J8" i="1"/>
  <c r="K8" i="1" s="1"/>
  <c r="J17" i="1"/>
  <c r="K17" i="1" s="1"/>
  <c r="J16" i="1"/>
  <c r="K16" i="1" s="1"/>
  <c r="I13" i="1"/>
  <c r="E24" i="1"/>
  <c r="F13" i="1"/>
  <c r="E23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J13" i="1" l="1"/>
  <c r="K13" i="1" s="1"/>
  <c r="H24" i="1"/>
  <c r="H23" i="1"/>
  <c r="I23" i="1" l="1"/>
  <c r="I24" i="1"/>
  <c r="J23" i="1" l="1"/>
  <c r="J24" i="1"/>
  <c r="K24" i="1"/>
  <c r="K23" i="1"/>
</calcChain>
</file>

<file path=xl/connections.xml><?xml version="1.0" encoding="utf-8"?>
<connections xmlns="http://schemas.openxmlformats.org/spreadsheetml/2006/main">
  <connection id="1" name="Conexão" type="4" refreshedVersion="6" background="1" saveData="1">
    <webPr sourceData="1" parsePre="1" consecutive="1" xl2000="1" url="http://notebook/excel/cotacao.html"/>
  </connection>
</connections>
</file>

<file path=xl/sharedStrings.xml><?xml version="1.0" encoding="utf-8"?>
<sst xmlns="http://schemas.openxmlformats.org/spreadsheetml/2006/main" count="122" uniqueCount="90">
  <si>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</si>
  <si>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</si>
  <si>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</si>
  <si>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</si>
  <si>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</si>
  <si>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</si>
  <si>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</si>
  <si>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</si>
  <si>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</si>
  <si>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</si>
  <si>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</si>
  <si>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</si>
  <si>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</si>
  <si>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</si>
  <si>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</si>
  <si>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</si>
  <si>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</si>
  <si>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</si>
  <si>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</si>
  <si>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</si>
  <si>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</si>
  <si>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</si>
  <si>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</si>
  <si>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</si>
  <si>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</si>
  <si>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</si>
  <si>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</si>
  <si>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</si>
  <si>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</si>
  <si>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</si>
  <si>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</si>
  <si>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</si>
  <si>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</si>
  <si>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</si>
  <si>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</si>
  <si>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</si>
  <si>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</si>
  <si>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</si>
  <si>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</si>
  <si>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</si>
  <si>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</si>
  <si>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</si>
  <si>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</si>
  <si>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</si>
  <si>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</si>
  <si>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</si>
  <si>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</si>
  <si>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</si>
  <si>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</si>
  <si>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</si>
  <si>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</si>
  <si>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</si>
  <si>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</si>
  <si>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</si>
  <si>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</si>
  <si>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</si>
  <si>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</si>
  <si>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</si>
  <si>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</si>
  <si>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</si>
  <si>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</si>
  <si>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</si>
  <si>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</si>
  <si>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</si>
  <si>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</si>
  <si>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</si>
  <si>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</si>
  <si>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</si>
  <si>
    <t>DÓLAR</t>
  </si>
  <si>
    <t>1. Média Mensal da Cotação do Dólar Comercial para Venda</t>
  </si>
  <si>
    <t>Em Real ( R$ )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</si>
  <si>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</si>
  <si>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</si>
  <si>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</si>
  <si>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</si>
  <si>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</si>
  <si>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</si>
  <si>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</si>
  <si>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</si>
  <si>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</si>
  <si>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</si>
  <si>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</si>
  <si>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</si>
  <si>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-</t>
  </si>
  <si>
    <t>Fonte: Imprensa</t>
  </si>
  <si>
    <t>F</t>
  </si>
  <si>
    <t>Valor em dólar</t>
  </si>
  <si>
    <t>NOME:</t>
  </si>
  <si>
    <t>CARGO:</t>
  </si>
  <si>
    <t>Carlos alves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</si>
</sst>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4" formatCode="mm/yyyy"/>
    <numFmt numFmtId="165" formatCode="_-[$R$-416]\ * #,##0.00_-;\-[$R$-416]\ * #,##0.00_-;_-[$R$-416]\ * &quot;-&quot;??_-;_-@_-"/>
    <numFmt numFmtId="166" formatCode="_-[$$-409]* #,##0.00_ ;_-[$$-409]* \-#,##0.00\ ;_-[$$-409]* &quot;-&quot;??_ ;_-@_ 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barcode font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65" fontId="0" fillId="0" borderId="0" xfId="0" applyNumberFormat="1"/>
    <xf numFmtId="0" fontId="4" fillId="2" borderId="1" xfId="0" applyFont="1" applyFill="1" applyBorder="1"/>
    <xf numFmtId="0" fontId="5" fillId="3" borderId="0" xfId="0" applyFont="1" applyFill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Alignment="1" applyProtection="1">
      <alignment horizontal="center"/>
    </xf>
    <xf numFmtId="0" fontId="0" fillId="0" borderId="0" xfId="0" applyProtection="1"/>
    <xf numFmtId="165" fontId="0" fillId="0" borderId="0" xfId="0" applyNumberFormat="1" applyProtection="1"/>
    <xf numFmtId="0" fontId="1" fillId="0" borderId="0" xfId="0" applyFont="1" applyProtection="1"/>
    <xf numFmtId="4" fontId="0" fillId="0" borderId="0" xfId="0" applyNumberFormat="1" applyProtection="1"/>
    <xf numFmtId="44" fontId="0" fillId="0" borderId="0" xfId="1" applyFont="1" applyProtection="1"/>
    <xf numFmtId="0" fontId="6" fillId="0" borderId="0" xfId="0" applyFont="1" applyProtection="1"/>
    <xf numFmtId="10" fontId="0" fillId="0" borderId="0" xfId="0" applyNumberFormat="1" applyProtection="1"/>
    <xf numFmtId="4" fontId="0" fillId="0" borderId="0" xfId="1" applyNumberFormat="1" applyFont="1" applyProtection="1"/>
    <xf numFmtId="166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ont="1" applyProtection="1"/>
    <xf numFmtId="0" fontId="2" fillId="0" borderId="0" xfId="0" applyFont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4"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numFmt numFmtId="4" formatCode="#,##0.00"/>
      <protection locked="1" hidden="0"/>
    </dxf>
    <dxf>
      <protection locked="0" hidden="0"/>
    </dxf>
    <dxf>
      <numFmt numFmtId="4" formatCode="#,##0.00"/>
      <protection locked="1" hidden="0"/>
    </dxf>
    <dxf>
      <numFmt numFmtId="165" formatCode="_-[$R$-416]\ * #,##0.00_-;\-[$R$-416]\ * #,##0.00_-;_-[$R$-416]\ * &quot;-&quot;??_-;_-@_-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Style="combo" dx="16" fmlaLink="$A$15" fmlaRange="Cargos!$B$3:$B$8" noThreeD="1" sel="5" val="0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2</xdr:col>
          <xdr:colOff>1295400</xdr:colOff>
          <xdr:row>5</xdr:row>
          <xdr:rowOff>19050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6</xdr:row>
          <xdr:rowOff>0</xdr:rowOff>
        </xdr:from>
        <xdr:to>
          <xdr:col>2</xdr:col>
          <xdr:colOff>1600200</xdr:colOff>
          <xdr:row>7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3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otacao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2" name="Tabela2" displayName="Tabela2" ref="A5:L24" totalsRowShown="0" headerRowDxfId="13" dataDxfId="12">
  <autoFilter ref="A5:L24"/>
  <tableColumns count="12">
    <tableColumn id="1" name="Funcionário" dataDxfId="11"/>
    <tableColumn id="2" name="Cód.Cargo" dataDxfId="10"/>
    <tableColumn id="3" name="Cargo" dataDxfId="9">
      <calculatedColumnFormula>IF(AND(B6&gt;=1,B6&lt;=15),VLOOKUP(B6,TABELACARGO,2),"CARGO INEXISTENTE")</calculatedColumnFormula>
    </tableColumn>
    <tableColumn id="4" name="Nr. Sal. " dataDxfId="8">
      <calculatedColumnFormula>IF(AND($B6&gt;=1,$B6&lt;=15),VLOOKUP($B6,TABELACARGO,3)," ")</calculatedColumnFormula>
    </tableColumn>
    <tableColumn id="5" name="Sal. Bruto " dataDxfId="7"/>
    <tableColumn id="6" name="INSS" dataDxfId="6"/>
    <tableColumn id="7" name="Dep." dataDxfId="5"/>
    <tableColumn id="8" name="Sal. Fam. " dataDxfId="4"/>
    <tableColumn id="9" name="IRRF " dataDxfId="3"/>
    <tableColumn id="10" name="Tot. Desc. " dataDxfId="2"/>
    <tableColumn id="11" name="Sal. Líq. " dataDxfId="1"/>
    <tableColumn id="12" name="Valor em dóla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O24"/>
  <sheetViews>
    <sheetView tabSelected="1" workbookViewId="0">
      <selection activeCell="E31" sqref="E31"/>
    </sheetView>
  </sheetViews>
  <sheetFormatPr defaultRowHeight="15" x14ac:dyDescent="0.25"/>
  <cols>
    <col min="1" max="1" width="23.7109375" customWidth="1"/>
    <col min="2" max="2" width="13.42578125" customWidth="1"/>
    <col min="3" max="3" width="27.140625" bestFit="1" customWidth="1"/>
    <col min="4" max="4" width="10.85546875" customWidth="1"/>
    <col min="5" max="5" width="13.85546875" customWidth="1"/>
    <col min="6" max="6" width="20.5703125" customWidth="1"/>
    <col min="7" max="7" width="9" customWidth="1"/>
    <col min="8" max="8" width="10.85546875" customWidth="1"/>
    <col min="9" max="9" width="13.5703125" customWidth="1"/>
    <col min="10" max="10" width="15" customWidth="1"/>
    <col min="11" max="12" width="16.28515625" customWidth="1"/>
    <col min="13" max="13" width="18.7109375" customWidth="1"/>
    <col min="14" max="14" width="14.5703125" customWidth="1"/>
    <col min="15" max="15" width="24.42578125" customWidth="1"/>
  </cols>
  <sheetData>
    <row r="1" spans="1:15" x14ac:dyDescent="0.25">
      <c r="A1" s="32" t="s">
        <v>42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11"/>
      <c r="M1" s="12"/>
      <c r="N1" s="12"/>
      <c r="O1" s="12"/>
    </row>
    <row r="2" spans="1:15" x14ac:dyDescent="0.2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25">
      <c r="A3" s="12" t="s">
        <v>0</v>
      </c>
      <c r="B3" s="13">
        <v>1100</v>
      </c>
      <c r="C3" s="12"/>
      <c r="D3" s="12" t="s">
        <v>28</v>
      </c>
      <c r="E3" s="9">
        <v>44470</v>
      </c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25">
      <c r="A5" s="14" t="s">
        <v>1</v>
      </c>
      <c r="B5" s="10" t="s">
        <v>27</v>
      </c>
      <c r="C5" s="14" t="s">
        <v>2</v>
      </c>
      <c r="D5" s="14" t="s">
        <v>3</v>
      </c>
      <c r="E5" s="14" t="s">
        <v>4</v>
      </c>
      <c r="F5" s="14" t="s">
        <v>5</v>
      </c>
      <c r="G5" s="10" t="s">
        <v>6</v>
      </c>
      <c r="H5" s="14" t="s">
        <v>7</v>
      </c>
      <c r="I5" s="14" t="s">
        <v>8</v>
      </c>
      <c r="J5" s="14" t="s">
        <v>9</v>
      </c>
      <c r="K5" s="14" t="s">
        <v>10</v>
      </c>
      <c r="L5" s="14" t="s">
        <v>86</v>
      </c>
      <c r="M5" s="14"/>
      <c r="N5" s="12" t="s">
        <v>65</v>
      </c>
      <c r="O5" s="12" t="s">
        <v>66</v>
      </c>
    </row>
    <row r="6" spans="1:15" x14ac:dyDescent="0.25">
      <c r="A6" s="12" t="str">
        <f>TRIM(CONCATENATE(PROPER(Funcionários!B2)," ",Funcionários!C2," ",PROPER((Funcionários!A2))))</f>
        <v>José Carlos de Almeida</v>
      </c>
      <c r="B6" s="8">
        <v>2</v>
      </c>
      <c r="C6" s="12" t="str">
        <f t="shared" ref="C6:C21" si="0">IF(AND(B6&gt;=1,B6&lt;=15),VLOOKUP(B6,TABELACARGO,2),"CARGO INEXISTENTE")</f>
        <v>Auxiliar de Contabilidade</v>
      </c>
      <c r="D6" s="12">
        <f t="shared" ref="D6:D22" si="1">IF(AND($B6&gt;=1,$B6&lt;=15),VLOOKUP($B6,TABELACARGO,3)," ")</f>
        <v>6</v>
      </c>
      <c r="E6" s="13">
        <f>(B$3*D6)</f>
        <v>6600</v>
      </c>
      <c r="F6" s="13">
        <f t="shared" ref="F6:F22" si="2">VLOOKUP(D6,INSS,3,TRUE)*E6</f>
        <v>462.00000000000006</v>
      </c>
      <c r="G6" s="8">
        <v>4</v>
      </c>
      <c r="H6" s="16">
        <f>$B$3/8*G6</f>
        <v>550</v>
      </c>
      <c r="I6" s="16">
        <f t="shared" ref="I6:I22" si="3">VLOOKUP(G6,IRRF,3,TRUE)*E6</f>
        <v>396</v>
      </c>
      <c r="J6" s="13">
        <f>F6+I6</f>
        <v>858</v>
      </c>
      <c r="K6" s="16">
        <f>E6-J6</f>
        <v>5742</v>
      </c>
      <c r="L6" s="19"/>
      <c r="M6" s="12"/>
      <c r="N6" s="12">
        <f ca="1">RANDBETWEEN(10000000,99999999)</f>
        <v>56829386</v>
      </c>
      <c r="O6" s="17">
        <f ca="1">N6</f>
        <v>56829386</v>
      </c>
    </row>
    <row r="7" spans="1:15" x14ac:dyDescent="0.25">
      <c r="A7" s="12" t="str">
        <f>TRIM(CONCATENATE(PROPER(Funcionários!B3)," ",Funcionários!C3," ",PROPER((Funcionários!A3))))</f>
        <v>Marisa Abreu Silva</v>
      </c>
      <c r="B7" s="8">
        <v>2</v>
      </c>
      <c r="C7" s="12" t="str">
        <f t="shared" si="0"/>
        <v>Auxiliar de Contabilidade</v>
      </c>
      <c r="D7" s="12">
        <f t="shared" si="1"/>
        <v>6</v>
      </c>
      <c r="E7" s="13">
        <f t="shared" ref="E7:E22" si="4">IFERROR(B$3*D7," ")</f>
        <v>6600</v>
      </c>
      <c r="F7" s="13">
        <f t="shared" si="2"/>
        <v>462.00000000000006</v>
      </c>
      <c r="G7" s="8">
        <v>2</v>
      </c>
      <c r="H7" s="16">
        <f t="shared" ref="H7:H22" si="5">$B$3/8*G7</f>
        <v>275</v>
      </c>
      <c r="I7" s="16">
        <f t="shared" si="3"/>
        <v>264</v>
      </c>
      <c r="J7" s="13">
        <f t="shared" ref="J7:J22" si="6">F7+I7</f>
        <v>726</v>
      </c>
      <c r="K7" s="16">
        <f t="shared" ref="K7:K22" si="7">E7-J7</f>
        <v>5874</v>
      </c>
      <c r="L7" s="19"/>
      <c r="M7" s="12"/>
      <c r="N7" s="12">
        <f t="shared" ref="N7:N21" ca="1" si="8">RANDBETWEEN(10000000,99999999)</f>
        <v>17075941</v>
      </c>
      <c r="O7" s="17">
        <f t="shared" ref="O7:O21" ca="1" si="9">N7</f>
        <v>17075941</v>
      </c>
    </row>
    <row r="8" spans="1:15" x14ac:dyDescent="0.25">
      <c r="A8" s="12" t="str">
        <f>TRIM(CONCATENATE(PROPER(Funcionários!B4)," ",Funcionários!C4," ",PROPER((Funcionários!A4))))</f>
        <v>Pedro de Almeida</v>
      </c>
      <c r="B8" s="8">
        <v>3</v>
      </c>
      <c r="C8" s="12" t="str">
        <f t="shared" si="0"/>
        <v>Chefe de Cobrança</v>
      </c>
      <c r="D8" s="12">
        <f t="shared" si="1"/>
        <v>15</v>
      </c>
      <c r="E8" s="13">
        <f t="shared" si="4"/>
        <v>16500</v>
      </c>
      <c r="F8" s="13">
        <f t="shared" si="2"/>
        <v>1650</v>
      </c>
      <c r="G8" s="8">
        <v>3</v>
      </c>
      <c r="H8" s="16">
        <f t="shared" si="5"/>
        <v>412.5</v>
      </c>
      <c r="I8" s="16">
        <f t="shared" si="3"/>
        <v>660</v>
      </c>
      <c r="J8" s="13">
        <f t="shared" si="6"/>
        <v>2310</v>
      </c>
      <c r="K8" s="16">
        <f t="shared" si="7"/>
        <v>14190</v>
      </c>
      <c r="L8" s="19"/>
      <c r="M8" s="12"/>
      <c r="N8" s="12">
        <f t="shared" ca="1" si="8"/>
        <v>55656817</v>
      </c>
      <c r="O8" s="17">
        <f t="shared" ca="1" si="9"/>
        <v>55656817</v>
      </c>
    </row>
    <row r="9" spans="1:15" x14ac:dyDescent="0.25">
      <c r="A9" s="12" t="str">
        <f>TRIM(CONCATENATE(PROPER(Funcionários!B5)," ",Funcionários!C5," ",PROPER((Funcionários!A5))))</f>
        <v>Vera Jesus</v>
      </c>
      <c r="B9" s="8">
        <v>4</v>
      </c>
      <c r="C9" s="12" t="str">
        <f t="shared" si="0"/>
        <v>Chefe de Expedição</v>
      </c>
      <c r="D9" s="12">
        <f t="shared" si="1"/>
        <v>7</v>
      </c>
      <c r="E9" s="13">
        <f t="shared" si="4"/>
        <v>7700</v>
      </c>
      <c r="F9" s="13">
        <f t="shared" si="2"/>
        <v>539</v>
      </c>
      <c r="G9" s="8">
        <v>0</v>
      </c>
      <c r="H9" s="16">
        <f t="shared" si="5"/>
        <v>0</v>
      </c>
      <c r="I9" s="16">
        <f t="shared" si="3"/>
        <v>154</v>
      </c>
      <c r="J9" s="13">
        <f t="shared" si="6"/>
        <v>693</v>
      </c>
      <c r="K9" s="16">
        <f t="shared" si="7"/>
        <v>7007</v>
      </c>
      <c r="L9" s="19"/>
      <c r="M9" s="12"/>
      <c r="N9" s="12">
        <f t="shared" ca="1" si="8"/>
        <v>22422463</v>
      </c>
      <c r="O9" s="17">
        <f t="shared" ca="1" si="9"/>
        <v>22422463</v>
      </c>
    </row>
    <row r="10" spans="1:15" x14ac:dyDescent="0.25">
      <c r="A10" s="12" t="str">
        <f>TRIM(CONCATENATE(PROPER(Funcionários!B6)," ",Funcionários!C6," ",PROPER((Funcionários!A6))))</f>
        <v>Mario Paulo Simões</v>
      </c>
      <c r="B10" s="8">
        <v>5</v>
      </c>
      <c r="C10" s="12" t="str">
        <f t="shared" si="0"/>
        <v>Contador</v>
      </c>
      <c r="D10" s="12">
        <f t="shared" si="1"/>
        <v>13</v>
      </c>
      <c r="E10" s="13">
        <f t="shared" si="4"/>
        <v>14300</v>
      </c>
      <c r="F10" s="13">
        <f t="shared" si="2"/>
        <v>1430</v>
      </c>
      <c r="G10" s="8">
        <v>0</v>
      </c>
      <c r="H10" s="16">
        <f t="shared" si="5"/>
        <v>0</v>
      </c>
      <c r="I10" s="16">
        <f t="shared" si="3"/>
        <v>286</v>
      </c>
      <c r="J10" s="13">
        <f t="shared" si="6"/>
        <v>1716</v>
      </c>
      <c r="K10" s="16">
        <f t="shared" si="7"/>
        <v>12584</v>
      </c>
      <c r="L10" s="19"/>
      <c r="M10" s="12"/>
      <c r="N10" s="12">
        <f t="shared" ca="1" si="8"/>
        <v>20961424</v>
      </c>
      <c r="O10" s="17">
        <f t="shared" ca="1" si="9"/>
        <v>20961424</v>
      </c>
    </row>
    <row r="11" spans="1:15" x14ac:dyDescent="0.25">
      <c r="A11" s="12" t="str">
        <f>TRIM(CONCATENATE(PROPER(Funcionários!B7)," ",Funcionários!C7," ",PROPER((Funcionários!A7))))</f>
        <v>Sheila Maria de Souza</v>
      </c>
      <c r="B11" s="8">
        <v>6</v>
      </c>
      <c r="C11" s="12" t="str">
        <f t="shared" si="0"/>
        <v>Diretor de Divisão</v>
      </c>
      <c r="D11" s="12">
        <f t="shared" si="1"/>
        <v>20</v>
      </c>
      <c r="E11" s="13">
        <f t="shared" si="4"/>
        <v>22000</v>
      </c>
      <c r="F11" s="13">
        <f t="shared" si="2"/>
        <v>2200</v>
      </c>
      <c r="G11" s="8">
        <v>3</v>
      </c>
      <c r="H11" s="16">
        <f t="shared" si="5"/>
        <v>412.5</v>
      </c>
      <c r="I11" s="16">
        <f t="shared" si="3"/>
        <v>880</v>
      </c>
      <c r="J11" s="13">
        <f t="shared" si="6"/>
        <v>3080</v>
      </c>
      <c r="K11" s="16">
        <f t="shared" si="7"/>
        <v>18920</v>
      </c>
      <c r="L11" s="19"/>
      <c r="M11" s="12"/>
      <c r="N11" s="12">
        <f t="shared" ca="1" si="8"/>
        <v>63172938</v>
      </c>
      <c r="O11" s="17">
        <f t="shared" ca="1" si="9"/>
        <v>63172938</v>
      </c>
    </row>
    <row r="12" spans="1:15" x14ac:dyDescent="0.25">
      <c r="A12" s="12" t="str">
        <f>TRIM(CONCATENATE(PROPER(Funcionários!B8)," ",Funcionários!C8," ",PROPER((Funcionários!A8))))</f>
        <v>Maria Lourdes Garcia</v>
      </c>
      <c r="B12" s="8">
        <v>5</v>
      </c>
      <c r="C12" s="12" t="str">
        <f t="shared" si="0"/>
        <v>Contador</v>
      </c>
      <c r="D12" s="12">
        <f t="shared" si="1"/>
        <v>13</v>
      </c>
      <c r="E12" s="13">
        <f t="shared" si="4"/>
        <v>14300</v>
      </c>
      <c r="F12" s="13">
        <f t="shared" si="2"/>
        <v>1430</v>
      </c>
      <c r="G12" s="8">
        <v>4</v>
      </c>
      <c r="H12" s="16">
        <f t="shared" si="5"/>
        <v>550</v>
      </c>
      <c r="I12" s="16">
        <f t="shared" si="3"/>
        <v>858</v>
      </c>
      <c r="J12" s="13">
        <f t="shared" si="6"/>
        <v>2288</v>
      </c>
      <c r="K12" s="16">
        <f t="shared" si="7"/>
        <v>12012</v>
      </c>
      <c r="L12" s="19"/>
      <c r="M12" s="12"/>
      <c r="N12" s="12">
        <f t="shared" ca="1" si="8"/>
        <v>15904574</v>
      </c>
      <c r="O12" s="17">
        <f t="shared" ca="1" si="9"/>
        <v>15904574</v>
      </c>
    </row>
    <row r="13" spans="1:15" x14ac:dyDescent="0.25">
      <c r="A13" s="12" t="str">
        <f>TRIM(CONCATENATE(PROPER(Funcionários!B9)," ",Funcionários!C9," ",PROPER((Funcionários!A9))))</f>
        <v>Juliana da Silva</v>
      </c>
      <c r="B13" s="8">
        <v>6</v>
      </c>
      <c r="C13" s="12" t="str">
        <f t="shared" si="0"/>
        <v>Diretor de Divisão</v>
      </c>
      <c r="D13" s="12">
        <f t="shared" si="1"/>
        <v>20</v>
      </c>
      <c r="E13" s="13">
        <f t="shared" si="4"/>
        <v>22000</v>
      </c>
      <c r="F13" s="13">
        <f t="shared" si="2"/>
        <v>2200</v>
      </c>
      <c r="G13" s="8">
        <v>0</v>
      </c>
      <c r="H13" s="16">
        <f t="shared" si="5"/>
        <v>0</v>
      </c>
      <c r="I13" s="16">
        <f t="shared" si="3"/>
        <v>440</v>
      </c>
      <c r="J13" s="13">
        <f t="shared" si="6"/>
        <v>2640</v>
      </c>
      <c r="K13" s="16">
        <f t="shared" si="7"/>
        <v>19360</v>
      </c>
      <c r="L13" s="19"/>
      <c r="M13" s="12"/>
      <c r="N13" s="12">
        <f t="shared" ca="1" si="8"/>
        <v>56344807</v>
      </c>
      <c r="O13" s="17">
        <f t="shared" ca="1" si="9"/>
        <v>56344807</v>
      </c>
    </row>
    <row r="14" spans="1:15" x14ac:dyDescent="0.25">
      <c r="A14" s="12" t="str">
        <f>TRIM(CONCATENATE(PROPER(Funcionários!B10)," ",Funcionários!C10," ",PROPER((Funcionários!A10))))</f>
        <v>Mario Antonio de Abreu</v>
      </c>
      <c r="B14" s="8">
        <v>2</v>
      </c>
      <c r="C14" s="12" t="str">
        <f t="shared" si="0"/>
        <v>Auxiliar de Contabilidade</v>
      </c>
      <c r="D14" s="12">
        <f t="shared" si="1"/>
        <v>6</v>
      </c>
      <c r="E14" s="13">
        <f t="shared" si="4"/>
        <v>6600</v>
      </c>
      <c r="F14" s="13">
        <f t="shared" si="2"/>
        <v>462.00000000000006</v>
      </c>
      <c r="G14" s="8">
        <v>2</v>
      </c>
      <c r="H14" s="16">
        <f t="shared" si="5"/>
        <v>275</v>
      </c>
      <c r="I14" s="16">
        <f t="shared" si="3"/>
        <v>264</v>
      </c>
      <c r="J14" s="13">
        <f t="shared" si="6"/>
        <v>726</v>
      </c>
      <c r="K14" s="16">
        <f t="shared" si="7"/>
        <v>5874</v>
      </c>
      <c r="L14" s="19"/>
      <c r="M14" s="12"/>
      <c r="N14" s="12">
        <f t="shared" ca="1" si="8"/>
        <v>39398275</v>
      </c>
      <c r="O14" s="17">
        <f t="shared" ca="1" si="9"/>
        <v>39398275</v>
      </c>
    </row>
    <row r="15" spans="1:15" x14ac:dyDescent="0.25">
      <c r="A15" s="12" t="str">
        <f>TRIM(CONCATENATE(PROPER(Funcionários!B11)," ",Funcionários!C11," ",PROPER((Funcionários!A11))))</f>
        <v>Wanda Silva Juliano</v>
      </c>
      <c r="B15" s="8">
        <v>3</v>
      </c>
      <c r="C15" s="12" t="str">
        <f t="shared" si="0"/>
        <v>Chefe de Cobrança</v>
      </c>
      <c r="D15" s="12">
        <f t="shared" si="1"/>
        <v>15</v>
      </c>
      <c r="E15" s="13">
        <f t="shared" si="4"/>
        <v>16500</v>
      </c>
      <c r="F15" s="13">
        <f t="shared" si="2"/>
        <v>1650</v>
      </c>
      <c r="G15" s="8">
        <v>1</v>
      </c>
      <c r="H15" s="16">
        <f t="shared" si="5"/>
        <v>137.5</v>
      </c>
      <c r="I15" s="16">
        <f t="shared" si="3"/>
        <v>330</v>
      </c>
      <c r="J15" s="13">
        <f t="shared" si="6"/>
        <v>1980</v>
      </c>
      <c r="K15" s="16">
        <f t="shared" si="7"/>
        <v>14520</v>
      </c>
      <c r="L15" s="19"/>
      <c r="M15" s="12"/>
      <c r="N15" s="12">
        <f t="shared" ca="1" si="8"/>
        <v>31469127</v>
      </c>
      <c r="O15" s="17">
        <f t="shared" ca="1" si="9"/>
        <v>31469127</v>
      </c>
    </row>
    <row r="16" spans="1:15" x14ac:dyDescent="0.25">
      <c r="A16" s="12" t="str">
        <f>TRIM(CONCATENATE(PROPER(Funcionários!B12)," ",Funcionários!C12," ",PROPER((Funcionários!A12))))</f>
        <v>Antonio da Silva</v>
      </c>
      <c r="B16" s="8">
        <v>4</v>
      </c>
      <c r="C16" s="12" t="str">
        <f t="shared" si="0"/>
        <v>Chefe de Expedição</v>
      </c>
      <c r="D16" s="12">
        <f t="shared" si="1"/>
        <v>7</v>
      </c>
      <c r="E16" s="13">
        <f t="shared" si="4"/>
        <v>7700</v>
      </c>
      <c r="F16" s="13">
        <f t="shared" si="2"/>
        <v>539</v>
      </c>
      <c r="G16" s="8">
        <v>1</v>
      </c>
      <c r="H16" s="16">
        <f t="shared" si="5"/>
        <v>137.5</v>
      </c>
      <c r="I16" s="16">
        <f t="shared" si="3"/>
        <v>154</v>
      </c>
      <c r="J16" s="13">
        <f t="shared" si="6"/>
        <v>693</v>
      </c>
      <c r="K16" s="16">
        <f t="shared" si="7"/>
        <v>7007</v>
      </c>
      <c r="L16" s="19"/>
      <c r="M16" s="12"/>
      <c r="N16" s="12">
        <f t="shared" ca="1" si="8"/>
        <v>63139837</v>
      </c>
      <c r="O16" s="17">
        <f t="shared" ca="1" si="9"/>
        <v>63139837</v>
      </c>
    </row>
    <row r="17" spans="1:15" x14ac:dyDescent="0.25">
      <c r="A17" s="12" t="str">
        <f>TRIM(CONCATENATE(PROPER(Funcionários!B13)," ",Funcionários!C13," ",PROPER((Funcionários!A13))))</f>
        <v>Cezar Pedro de Jesus</v>
      </c>
      <c r="B17" s="8">
        <v>5</v>
      </c>
      <c r="C17" s="12" t="str">
        <f t="shared" si="0"/>
        <v>Contador</v>
      </c>
      <c r="D17" s="12">
        <f t="shared" si="1"/>
        <v>13</v>
      </c>
      <c r="E17" s="13">
        <f t="shared" si="4"/>
        <v>14300</v>
      </c>
      <c r="F17" s="13">
        <f t="shared" si="2"/>
        <v>1430</v>
      </c>
      <c r="G17" s="8">
        <v>0</v>
      </c>
      <c r="H17" s="16">
        <f t="shared" si="5"/>
        <v>0</v>
      </c>
      <c r="I17" s="16">
        <f t="shared" si="3"/>
        <v>286</v>
      </c>
      <c r="J17" s="13">
        <f t="shared" si="6"/>
        <v>1716</v>
      </c>
      <c r="K17" s="16">
        <f t="shared" si="7"/>
        <v>12584</v>
      </c>
      <c r="L17" s="19"/>
      <c r="M17" s="12"/>
      <c r="N17" s="12">
        <f t="shared" ca="1" si="8"/>
        <v>96148807</v>
      </c>
      <c r="O17" s="17">
        <f t="shared" ca="1" si="9"/>
        <v>96148807</v>
      </c>
    </row>
    <row r="18" spans="1:15" x14ac:dyDescent="0.25">
      <c r="A18" s="12" t="str">
        <f>TRIM(CONCATENATE(PROPER(Funcionários!B14)," ",Funcionários!C14," ",PROPER((Funcionários!A14))))</f>
        <v>Abel de Souza</v>
      </c>
      <c r="B18" s="8">
        <v>1</v>
      </c>
      <c r="C18" s="12" t="str">
        <f t="shared" si="0"/>
        <v>Análista de Salários</v>
      </c>
      <c r="D18" s="12">
        <f t="shared" si="1"/>
        <v>10</v>
      </c>
      <c r="E18" s="13">
        <f t="shared" si="4"/>
        <v>11000</v>
      </c>
      <c r="F18" s="13">
        <f t="shared" si="2"/>
        <v>935.00000000000011</v>
      </c>
      <c r="G18" s="8">
        <v>3</v>
      </c>
      <c r="H18" s="16">
        <f t="shared" si="5"/>
        <v>412.5</v>
      </c>
      <c r="I18" s="16">
        <f t="shared" si="3"/>
        <v>440</v>
      </c>
      <c r="J18" s="13">
        <f t="shared" si="6"/>
        <v>1375</v>
      </c>
      <c r="K18" s="16">
        <f t="shared" si="7"/>
        <v>9625</v>
      </c>
      <c r="L18" s="19"/>
      <c r="M18" s="12"/>
      <c r="N18" s="12">
        <f t="shared" ca="1" si="8"/>
        <v>25363409</v>
      </c>
      <c r="O18" s="17">
        <f t="shared" ca="1" si="9"/>
        <v>25363409</v>
      </c>
    </row>
    <row r="19" spans="1:15" x14ac:dyDescent="0.25">
      <c r="A19" s="12" t="str">
        <f>TRIM(CONCATENATE(PROPER(Funcionários!B15)," ",Funcionários!C15," ",PROPER((Funcionários!A15))))</f>
        <v>Antonia de Marinho</v>
      </c>
      <c r="B19" s="8">
        <v>2</v>
      </c>
      <c r="C19" s="12" t="str">
        <f t="shared" si="0"/>
        <v>Auxiliar de Contabilidade</v>
      </c>
      <c r="D19" s="12">
        <f t="shared" si="1"/>
        <v>6</v>
      </c>
      <c r="E19" s="13">
        <f t="shared" si="4"/>
        <v>6600</v>
      </c>
      <c r="F19" s="13">
        <f t="shared" si="2"/>
        <v>462.00000000000006</v>
      </c>
      <c r="G19" s="8">
        <v>2</v>
      </c>
      <c r="H19" s="16">
        <f t="shared" si="5"/>
        <v>275</v>
      </c>
      <c r="I19" s="16">
        <f t="shared" si="3"/>
        <v>264</v>
      </c>
      <c r="J19" s="13">
        <f t="shared" si="6"/>
        <v>726</v>
      </c>
      <c r="K19" s="16">
        <f t="shared" si="7"/>
        <v>5874</v>
      </c>
      <c r="L19" s="19"/>
      <c r="M19" s="12"/>
      <c r="N19" s="12">
        <f t="shared" ca="1" si="8"/>
        <v>11063288</v>
      </c>
      <c r="O19" s="17">
        <f t="shared" ca="1" si="9"/>
        <v>11063288</v>
      </c>
    </row>
    <row r="20" spans="1:15" x14ac:dyDescent="0.25">
      <c r="A20" s="12" t="str">
        <f>TRIM(CONCATENATE(PROPER(Funcionários!B16)," ",Funcionários!C16," ",PROPER((Funcionários!A16))))</f>
        <v>Josefa de Malaquias</v>
      </c>
      <c r="B20" s="8">
        <v>3</v>
      </c>
      <c r="C20" s="12" t="str">
        <f t="shared" si="0"/>
        <v>Chefe de Cobrança</v>
      </c>
      <c r="D20" s="12">
        <f t="shared" si="1"/>
        <v>15</v>
      </c>
      <c r="E20" s="13">
        <f t="shared" si="4"/>
        <v>16500</v>
      </c>
      <c r="F20" s="13">
        <f t="shared" si="2"/>
        <v>1650</v>
      </c>
      <c r="G20" s="8">
        <v>0</v>
      </c>
      <c r="H20" s="16">
        <f t="shared" si="5"/>
        <v>0</v>
      </c>
      <c r="I20" s="16">
        <f t="shared" si="3"/>
        <v>330</v>
      </c>
      <c r="J20" s="13">
        <f t="shared" si="6"/>
        <v>1980</v>
      </c>
      <c r="K20" s="16">
        <f t="shared" si="7"/>
        <v>14520</v>
      </c>
      <c r="L20" s="19"/>
      <c r="M20" s="12"/>
      <c r="N20" s="12">
        <f t="shared" ca="1" si="8"/>
        <v>78537624</v>
      </c>
      <c r="O20" s="17">
        <f t="shared" ca="1" si="9"/>
        <v>78537624</v>
      </c>
    </row>
    <row r="21" spans="1:15" x14ac:dyDescent="0.25">
      <c r="A21" s="12" t="str">
        <f>TRIM(CONCATENATE(PROPER(Funcionários!B17)," ",Funcionários!C17," ",PROPER((Funcionários!A17))))</f>
        <v>Sonia Silva</v>
      </c>
      <c r="B21" s="8">
        <v>6</v>
      </c>
      <c r="C21" s="12" t="str">
        <f t="shared" si="0"/>
        <v>Diretor de Divisão</v>
      </c>
      <c r="D21" s="12">
        <f t="shared" si="1"/>
        <v>20</v>
      </c>
      <c r="E21" s="13">
        <f t="shared" si="4"/>
        <v>22000</v>
      </c>
      <c r="F21" s="13">
        <f t="shared" si="2"/>
        <v>2200</v>
      </c>
      <c r="G21" s="8">
        <v>1</v>
      </c>
      <c r="H21" s="16">
        <f t="shared" si="5"/>
        <v>137.5</v>
      </c>
      <c r="I21" s="16">
        <f t="shared" si="3"/>
        <v>440</v>
      </c>
      <c r="J21" s="13">
        <f t="shared" si="6"/>
        <v>2640</v>
      </c>
      <c r="K21" s="16">
        <f t="shared" si="7"/>
        <v>19360</v>
      </c>
      <c r="L21" s="19"/>
      <c r="M21" s="12"/>
      <c r="N21" s="12">
        <f t="shared" ca="1" si="8"/>
        <v>37210759</v>
      </c>
      <c r="O21" s="17">
        <f t="shared" ca="1" si="9"/>
        <v>37210759</v>
      </c>
    </row>
    <row r="22" spans="1:15" x14ac:dyDescent="0.25">
      <c r="A22" s="31" t="e">
        <v>#REF!</v>
      </c>
      <c r="B22" s="8"/>
      <c r="C22" s="12" t="str">
        <f>IF(AND(B22&gt;=1,B22&lt;=15),VLOOKUP(B22,TABELACARGO,2),"CARGO INEXISTENTE")</f>
        <v>CARGO INEXISTENTE</v>
      </c>
      <c r="D22" s="12" t="str">
        <f t="shared" si="1"/>
        <v xml:space="preserve"> </v>
      </c>
      <c r="E22" s="13" t="str">
        <f t="shared" si="4"/>
        <v xml:space="preserve"> </v>
      </c>
      <c r="F22" s="13" t="e">
        <f t="shared" si="2"/>
        <v>#N/A</v>
      </c>
      <c r="G22" s="8">
        <v>1</v>
      </c>
      <c r="H22" s="16">
        <f t="shared" si="5"/>
        <v>137.5</v>
      </c>
      <c r="I22" s="16" t="e">
        <f t="shared" si="3"/>
        <v>#VALUE!</v>
      </c>
      <c r="J22" s="13" t="e">
        <f t="shared" si="6"/>
        <v>#N/A</v>
      </c>
      <c r="K22" s="16" t="e">
        <f t="shared" si="7"/>
        <v>#VALUE!</v>
      </c>
      <c r="L22" s="19"/>
      <c r="M22" s="12"/>
      <c r="N22" s="12"/>
      <c r="O22" s="17"/>
    </row>
    <row r="23" spans="1:15" x14ac:dyDescent="0.25">
      <c r="A23" s="14" t="s">
        <v>12</v>
      </c>
      <c r="B23" s="8"/>
      <c r="C23" s="12"/>
      <c r="D23" s="12" t="str">
        <f>IF(AND($B23&gt;=1,$B23&lt;=15),VLOOKUP($B23,TABELACARGO,3)," ")</f>
        <v xml:space="preserve"> </v>
      </c>
      <c r="E23" s="13">
        <f>LARGE(SalariosBrutos,1)</f>
        <v>22000</v>
      </c>
      <c r="F23" s="18"/>
      <c r="G23" s="8"/>
      <c r="H23" s="15">
        <f>MAX(H6:H21)</f>
        <v>550</v>
      </c>
      <c r="I23" s="15">
        <f>MAX(I6:I21)</f>
        <v>880</v>
      </c>
      <c r="J23" s="15">
        <f>MAX(J6:J21)</f>
        <v>3080</v>
      </c>
      <c r="K23" s="15">
        <f>MAX(K6:K21)</f>
        <v>19360</v>
      </c>
      <c r="L23" s="15"/>
      <c r="M23" s="12"/>
      <c r="N23" s="12"/>
      <c r="O23" s="12"/>
    </row>
    <row r="24" spans="1:15" x14ac:dyDescent="0.25">
      <c r="A24" s="14" t="s">
        <v>11</v>
      </c>
      <c r="B24" s="8"/>
      <c r="C24" s="12"/>
      <c r="D24" s="12" t="str">
        <f>IF(AND($B24&gt;=1,$B24&lt;=15),VLOOKUP($B24,TABELACARGO,3)," ")</f>
        <v xml:space="preserve"> </v>
      </c>
      <c r="E24" s="13">
        <f>SMALL(SalariosBrutos,1)</f>
        <v>6600</v>
      </c>
      <c r="F24" s="15"/>
      <c r="G24" s="8"/>
      <c r="H24" s="15">
        <f>MIN(H6:H21)</f>
        <v>0</v>
      </c>
      <c r="I24" s="15">
        <f>MIN(I6:I21)</f>
        <v>154</v>
      </c>
      <c r="J24" s="15">
        <f>MIN(J6:J21)</f>
        <v>693</v>
      </c>
      <c r="K24" s="15">
        <f>MIN(K6:K21)</f>
        <v>5742</v>
      </c>
      <c r="L24" s="15"/>
      <c r="M24" s="12"/>
      <c r="N24" s="12"/>
      <c r="O24" s="12"/>
    </row>
  </sheetData>
  <sheetProtection selectLockedCells="1"/>
  <mergeCells count="1">
    <mergeCell ref="A1:K1"/>
  </mergeCells>
  <dataValidations count="1">
    <dataValidation type="custom" allowBlank="1" showInputMessage="1" showErrorMessage="1" sqref="G6:G22">
      <formula1>H6&lt;(E6*10%)</formula1>
    </dataValidation>
  </dataValidation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Cargos!$A$3:$A$8</xm:f>
          </x14:formula1>
          <xm:sqref>B6:B22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4"/>
  <dimension ref="A1:E15"/>
  <sheetViews>
    <sheetView workbookViewId="0">
      <selection activeCell="D11" sqref="D11"/>
    </sheetView>
  </sheetViews>
  <sheetFormatPr defaultRowHeight="15" x14ac:dyDescent="0.25"/>
  <cols>
    <col min="3" max="3" width="24.140625" customWidth="1"/>
  </cols>
  <sheetData>
    <row r="1" spans="1:5" ht="15.75" thickBot="1" x14ac:dyDescent="0.3"/>
    <row r="2" spans="1:5" x14ac:dyDescent="0.25">
      <c r="A2" s="22"/>
      <c r="B2" s="23"/>
      <c r="C2" s="23"/>
      <c r="D2" s="23"/>
      <c r="E2" s="24"/>
    </row>
    <row r="3" spans="1:5" x14ac:dyDescent="0.25">
      <c r="A3" s="25"/>
      <c r="B3" s="26" t="s">
        <v>87</v>
      </c>
      <c r="C3" t="s">
        <v>89</v>
      </c>
      <c r="D3" s="26"/>
      <c r="E3" s="27"/>
    </row>
    <row r="4" spans="1:5" x14ac:dyDescent="0.25">
      <c r="A4" s="25"/>
      <c r="B4" s="26"/>
      <c r="C4" s="26"/>
      <c r="D4" s="26"/>
      <c r="E4" s="27"/>
    </row>
    <row r="5" spans="1:5" x14ac:dyDescent="0.25">
      <c r="A5" s="25"/>
      <c r="B5" s="26" t="s">
        <v>88</v>
      </c>
      <c r="C5" s="26"/>
      <c r="D5" s="26"/>
      <c r="E5" s="27"/>
    </row>
    <row r="6" spans="1:5" x14ac:dyDescent="0.25">
      <c r="A6" s="25"/>
      <c r="B6" s="26"/>
      <c r="C6" s="26"/>
      <c r="D6" s="26"/>
      <c r="E6" s="27"/>
    </row>
    <row r="7" spans="1:5" x14ac:dyDescent="0.25">
      <c r="A7" s="25"/>
      <c r="B7" s="26"/>
      <c r="C7" s="26"/>
      <c r="D7" s="26"/>
      <c r="E7" s="27"/>
    </row>
    <row r="8" spans="1:5" x14ac:dyDescent="0.25">
      <c r="A8" s="25"/>
      <c r="B8" s="26"/>
      <c r="C8" s="26"/>
      <c r="D8" s="26"/>
      <c r="E8" s="27"/>
    </row>
    <row r="9" spans="1:5" ht="15.75" thickBot="1" x14ac:dyDescent="0.3">
      <c r="A9" s="28"/>
      <c r="B9" s="29"/>
      <c r="C9" s="29"/>
      <c r="D9" s="29"/>
      <c r="E9" s="30"/>
    </row>
    <row r="14" spans="1:5" ht="15.75" thickBot="1" x14ac:dyDescent="0.3"/>
    <row r="15" spans="1:5" ht="15.75" thickBot="1" x14ac:dyDescent="0.3">
      <c r="A15" s="21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icionarFuncionario">
                <anchor moveWithCells="1" sizeWithCells="1">
                  <from>
                    <xdr:col>1</xdr:col>
                    <xdr:colOff>590550</xdr:colOff>
                    <xdr:row>6</xdr:row>
                    <xdr:rowOff>0</xdr:rowOff>
                  </from>
                  <to>
                    <xdr:col>2</xdr:col>
                    <xdr:colOff>1600200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C2"/>
  <sheetViews>
    <sheetView workbookViewId="0">
      <selection activeCell="E32" sqref="E32"/>
    </sheetView>
  </sheetViews>
  <sheetFormatPr defaultRowHeight="15" x14ac:dyDescent="0.25"/>
  <cols>
    <col min="1" max="1" width="15.140625" customWidth="1"/>
    <col min="2" max="2" width="18.28515625" customWidth="1"/>
    <col min="3" max="3" width="22.5703125" customWidth="1"/>
  </cols>
  <sheetData>
    <row r="1" spans="1:3" x14ac:dyDescent="0.25">
      <c r="A1" s="6" t="s">
        <v>27</v>
      </c>
      <c r="B1" s="6" t="s">
        <v>2</v>
      </c>
      <c r="C1" s="7" t="s">
        <v>67</v>
      </c>
    </row>
    <row r="2" spans="1:3" x14ac:dyDescent="0.25">
      <c r="A2">
        <v>5</v>
      </c>
      <c r="B2" t="str">
        <f>VLOOKUP(A2,TABELACARGO,2,FALSE)</f>
        <v>Contador</v>
      </c>
      <c r="C2" s="5">
        <f>DSUM(FUNCIONARIOS2,'Folha de Pagamento'!E5,A1:B2)</f>
        <v>42900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36</v>
      </c>
      <c r="B1" s="1" t="s">
        <v>35</v>
      </c>
      <c r="C1" s="1" t="s">
        <v>45</v>
      </c>
    </row>
    <row r="2" spans="1:3" x14ac:dyDescent="0.25">
      <c r="A2" t="s">
        <v>29</v>
      </c>
      <c r="B2" t="s">
        <v>46</v>
      </c>
      <c r="C2" t="s">
        <v>37</v>
      </c>
    </row>
    <row r="3" spans="1:3" x14ac:dyDescent="0.25">
      <c r="A3" t="s">
        <v>30</v>
      </c>
      <c r="B3" t="s">
        <v>63</v>
      </c>
    </row>
    <row r="4" spans="1:3" x14ac:dyDescent="0.25">
      <c r="A4" t="s">
        <v>56</v>
      </c>
      <c r="B4" t="s">
        <v>41</v>
      </c>
      <c r="C4" t="s">
        <v>37</v>
      </c>
    </row>
    <row r="5" spans="1:3" x14ac:dyDescent="0.25">
      <c r="A5" t="s">
        <v>57</v>
      </c>
      <c r="B5" t="s">
        <v>47</v>
      </c>
    </row>
    <row r="6" spans="1:3" x14ac:dyDescent="0.25">
      <c r="A6" t="s">
        <v>32</v>
      </c>
      <c r="B6" t="s">
        <v>48</v>
      </c>
    </row>
    <row r="7" spans="1:3" x14ac:dyDescent="0.25">
      <c r="A7" t="s">
        <v>33</v>
      </c>
      <c r="B7" t="s">
        <v>49</v>
      </c>
      <c r="C7" t="s">
        <v>37</v>
      </c>
    </row>
    <row r="8" spans="1:3" x14ac:dyDescent="0.25">
      <c r="A8" t="s">
        <v>58</v>
      </c>
      <c r="B8" t="s">
        <v>62</v>
      </c>
    </row>
    <row r="9" spans="1:3" x14ac:dyDescent="0.25">
      <c r="A9" t="s">
        <v>30</v>
      </c>
      <c r="B9" t="s">
        <v>39</v>
      </c>
      <c r="C9" t="s">
        <v>38</v>
      </c>
    </row>
    <row r="10" spans="1:3" x14ac:dyDescent="0.25">
      <c r="A10" t="s">
        <v>60</v>
      </c>
      <c r="B10" t="s">
        <v>43</v>
      </c>
      <c r="C10" t="s">
        <v>37</v>
      </c>
    </row>
    <row r="11" spans="1:3" x14ac:dyDescent="0.25">
      <c r="A11" t="s">
        <v>59</v>
      </c>
      <c r="B11" t="s">
        <v>54</v>
      </c>
    </row>
    <row r="12" spans="1:3" x14ac:dyDescent="0.25">
      <c r="A12" t="s">
        <v>55</v>
      </c>
      <c r="B12" t="s">
        <v>40</v>
      </c>
      <c r="C12" t="s">
        <v>38</v>
      </c>
    </row>
    <row r="13" spans="1:3" x14ac:dyDescent="0.25">
      <c r="A13" t="s">
        <v>31</v>
      </c>
      <c r="B13" t="s">
        <v>44</v>
      </c>
      <c r="C13" t="s">
        <v>37</v>
      </c>
    </row>
    <row r="14" spans="1:3" x14ac:dyDescent="0.25">
      <c r="A14" t="s">
        <v>33</v>
      </c>
      <c r="B14" t="s">
        <v>50</v>
      </c>
      <c r="C14" t="s">
        <v>37</v>
      </c>
    </row>
    <row r="15" spans="1:3" x14ac:dyDescent="0.25">
      <c r="A15" t="s">
        <v>61</v>
      </c>
      <c r="B15" t="s">
        <v>51</v>
      </c>
      <c r="C15" t="s">
        <v>37</v>
      </c>
    </row>
    <row r="16" spans="1:3" x14ac:dyDescent="0.25">
      <c r="A16" t="s">
        <v>34</v>
      </c>
      <c r="B16" t="s">
        <v>52</v>
      </c>
      <c r="C16" t="s">
        <v>37</v>
      </c>
    </row>
    <row r="17" spans="1:2" x14ac:dyDescent="0.25">
      <c r="A17" t="s">
        <v>30</v>
      </c>
      <c r="B17" t="s">
        <v>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G14" sqref="G14"/>
    </sheetView>
  </sheetViews>
  <sheetFormatPr defaultRowHeight="15" x14ac:dyDescent="0.25"/>
  <cols>
    <col min="2" max="2" width="24.42578125" customWidth="1"/>
    <col min="4" max="4" width="14.7109375" customWidth="1"/>
  </cols>
  <sheetData>
    <row r="1" spans="1:3" x14ac:dyDescent="0.25">
      <c r="A1" s="33" t="s">
        <v>26</v>
      </c>
      <c r="B1" s="33"/>
      <c r="C1" s="33"/>
    </row>
    <row r="2" spans="1:3" x14ac:dyDescent="0.25">
      <c r="A2" s="1" t="s">
        <v>13</v>
      </c>
      <c r="B2" s="1" t="s">
        <v>2</v>
      </c>
      <c r="C2" s="1" t="s">
        <v>64</v>
      </c>
    </row>
    <row r="3" spans="1:3" x14ac:dyDescent="0.25">
      <c r="A3">
        <v>1</v>
      </c>
      <c r="B3" t="s">
        <v>14</v>
      </c>
      <c r="C3">
        <v>10</v>
      </c>
    </row>
    <row r="4" spans="1:3" x14ac:dyDescent="0.25">
      <c r="A4">
        <v>2</v>
      </c>
      <c r="B4" t="s">
        <v>15</v>
      </c>
      <c r="C4">
        <v>6</v>
      </c>
    </row>
    <row r="5" spans="1:3" x14ac:dyDescent="0.25">
      <c r="A5">
        <v>3</v>
      </c>
      <c r="B5" t="s">
        <v>16</v>
      </c>
      <c r="C5">
        <v>15</v>
      </c>
    </row>
    <row r="6" spans="1:3" x14ac:dyDescent="0.25">
      <c r="A6">
        <v>4</v>
      </c>
      <c r="B6" t="s">
        <v>17</v>
      </c>
      <c r="C6">
        <v>7</v>
      </c>
    </row>
    <row r="7" spans="1:3" x14ac:dyDescent="0.25">
      <c r="A7">
        <v>5</v>
      </c>
      <c r="B7" t="s">
        <v>18</v>
      </c>
      <c r="C7">
        <v>13</v>
      </c>
    </row>
    <row r="8" spans="1:3" x14ac:dyDescent="0.25">
      <c r="A8">
        <v>6</v>
      </c>
      <c r="B8" t="s">
        <v>19</v>
      </c>
      <c r="C8">
        <v>20</v>
      </c>
    </row>
  </sheetData>
  <mergeCells count="1">
    <mergeCell ref="A1:C1"/>
  </mergeCells>
  <dataValidations count="2">
    <dataValidation type="textLength" allowBlank="1" showInputMessage="1" showErrorMessage="1" promptTitle="Orientação" prompt="Nome do cargo seja no máximo 25" sqref="B3:B8">
      <formula1>0</formula1>
      <formula2>25</formula2>
    </dataValidation>
    <dataValidation type="whole" allowBlank="1" showInputMessage="1" showErrorMessage="1" promptTitle="Orientação" prompt="Somente números entre 1 e 20" sqref="C3:C8">
      <formula1>1</formula1>
      <formula2>20</formula2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33" t="s">
        <v>5</v>
      </c>
      <c r="B1" s="33"/>
      <c r="C1" s="33"/>
    </row>
    <row r="2" spans="1:3" x14ac:dyDescent="0.25">
      <c r="A2" s="33" t="s">
        <v>20</v>
      </c>
      <c r="B2" s="33"/>
      <c r="C2" s="34" t="s">
        <v>23</v>
      </c>
    </row>
    <row r="3" spans="1:3" x14ac:dyDescent="0.25">
      <c r="A3" s="2" t="s">
        <v>21</v>
      </c>
      <c r="B3" s="2" t="s">
        <v>22</v>
      </c>
      <c r="C3" s="34"/>
    </row>
    <row r="4" spans="1:3" x14ac:dyDescent="0.25">
      <c r="A4" s="3">
        <v>0</v>
      </c>
      <c r="B4" s="3">
        <v>4</v>
      </c>
      <c r="C4" s="4">
        <v>5.5E-2</v>
      </c>
    </row>
    <row r="5" spans="1:3" x14ac:dyDescent="0.25">
      <c r="A5" s="3">
        <v>5</v>
      </c>
      <c r="B5" s="3">
        <v>7</v>
      </c>
      <c r="C5" s="4">
        <v>7.0000000000000007E-2</v>
      </c>
    </row>
    <row r="6" spans="1:3" x14ac:dyDescent="0.25">
      <c r="A6" s="3">
        <v>8</v>
      </c>
      <c r="B6" s="3">
        <v>10</v>
      </c>
      <c r="C6" s="4">
        <v>8.5000000000000006E-2</v>
      </c>
    </row>
    <row r="7" spans="1:3" x14ac:dyDescent="0.25">
      <c r="A7" s="3">
        <v>11</v>
      </c>
      <c r="B7" s="3" t="s">
        <v>24</v>
      </c>
      <c r="C7" s="4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A1:C11"/>
  <sheetViews>
    <sheetView workbookViewId="0">
      <selection activeCell="J22" sqref="J22"/>
    </sheetView>
  </sheetViews>
  <sheetFormatPr defaultRowHeight="15" x14ac:dyDescent="0.25"/>
  <sheetData>
    <row r="1" spans="1:3" x14ac:dyDescent="0.25">
      <c r="A1" s="33" t="s">
        <v>25</v>
      </c>
      <c r="B1" s="33"/>
      <c r="C1" s="33"/>
    </row>
    <row r="2" spans="1:3" x14ac:dyDescent="0.25">
      <c r="A2" s="33" t="s">
        <v>20</v>
      </c>
      <c r="B2" s="33"/>
      <c r="C2" s="34" t="s">
        <v>23</v>
      </c>
    </row>
    <row r="3" spans="1:3" x14ac:dyDescent="0.25">
      <c r="A3" s="2" t="s">
        <v>21</v>
      </c>
      <c r="B3" s="2" t="s">
        <v>22</v>
      </c>
      <c r="C3" s="34"/>
    </row>
    <row r="4" spans="1:3" x14ac:dyDescent="0.25">
      <c r="A4" s="3">
        <v>0</v>
      </c>
      <c r="B4" s="3">
        <v>1</v>
      </c>
      <c r="C4" s="4">
        <v>0.02</v>
      </c>
    </row>
    <row r="5" spans="1:3" x14ac:dyDescent="0.25">
      <c r="A5" s="3">
        <v>2</v>
      </c>
      <c r="B5" s="3">
        <v>3</v>
      </c>
      <c r="C5" s="4">
        <v>0.04</v>
      </c>
    </row>
    <row r="6" spans="1:3" x14ac:dyDescent="0.25">
      <c r="A6" s="3">
        <v>4</v>
      </c>
      <c r="B6" s="3">
        <v>5</v>
      </c>
      <c r="C6" s="4">
        <v>0.06</v>
      </c>
    </row>
    <row r="7" spans="1:3" x14ac:dyDescent="0.25">
      <c r="A7" s="3">
        <v>6</v>
      </c>
      <c r="B7" s="3">
        <v>7</v>
      </c>
      <c r="C7" s="4">
        <v>0.08</v>
      </c>
    </row>
    <row r="8" spans="1:3" x14ac:dyDescent="0.25">
      <c r="A8" s="3">
        <v>8</v>
      </c>
      <c r="B8" s="3">
        <v>9</v>
      </c>
      <c r="C8" s="4">
        <v>0.1</v>
      </c>
    </row>
    <row r="9" spans="1:3" x14ac:dyDescent="0.25">
      <c r="A9" s="3">
        <v>10</v>
      </c>
      <c r="B9" s="3">
        <v>11</v>
      </c>
      <c r="C9" s="4">
        <v>0.12</v>
      </c>
    </row>
    <row r="10" spans="1:3" x14ac:dyDescent="0.25">
      <c r="A10" s="3">
        <v>12</v>
      </c>
      <c r="B10" s="3">
        <v>13</v>
      </c>
      <c r="C10" s="4">
        <v>0.14000000000000001</v>
      </c>
    </row>
    <row r="11" spans="1:3" x14ac:dyDescent="0.25">
      <c r="A11" s="3">
        <v>14</v>
      </c>
      <c r="B11" s="3" t="s">
        <v>24</v>
      </c>
      <c r="C11" s="4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A2:Q25"/>
  <sheetViews>
    <sheetView workbookViewId="0">
      <selection activeCell="Q25" sqref="Q25"/>
    </sheetView>
  </sheetViews>
  <sheetFormatPr defaultRowHeight="15" x14ac:dyDescent="0.25"/>
  <cols>
    <col min="1" max="1" width="54.5703125" bestFit="1" customWidth="1"/>
    <col min="2" max="14" width="6" customWidth="1"/>
  </cols>
  <sheetData>
    <row r="2" spans="1:14" x14ac:dyDescent="0.25">
      <c r="A2" t="s">
        <v>68</v>
      </c>
    </row>
    <row r="3" spans="1:14" x14ac:dyDescent="0.25">
      <c r="A3" t="s">
        <v>69</v>
      </c>
    </row>
    <row r="4" spans="1:14" x14ac:dyDescent="0.25">
      <c r="A4" t="s">
        <v>70</v>
      </c>
    </row>
    <row r="5" spans="1:14" x14ac:dyDescent="0.25">
      <c r="B5">
        <v>2007</v>
      </c>
      <c r="C5">
        <v>2008</v>
      </c>
      <c r="D5">
        <v>2009</v>
      </c>
      <c r="E5">
        <v>2010</v>
      </c>
      <c r="F5">
        <v>2011</v>
      </c>
      <c r="G5">
        <v>2012</v>
      </c>
      <c r="H5">
        <v>2013</v>
      </c>
      <c r="I5">
        <v>2014</v>
      </c>
      <c r="J5">
        <v>2015</v>
      </c>
      <c r="K5">
        <v>2016</v>
      </c>
      <c r="L5">
        <v>2017</v>
      </c>
      <c r="M5">
        <v>2018</v>
      </c>
      <c r="N5">
        <v>2019</v>
      </c>
    </row>
    <row r="6" spans="1:14" x14ac:dyDescent="0.25">
      <c r="A6" t="s">
        <v>71</v>
      </c>
      <c r="B6">
        <v>2.1389999999999998</v>
      </c>
      <c r="C6">
        <v>1.774</v>
      </c>
      <c r="D6">
        <v>2.3069999999999999</v>
      </c>
      <c r="E6">
        <v>1.778</v>
      </c>
      <c r="F6">
        <v>1.675</v>
      </c>
      <c r="G6">
        <v>1.7909999999999999</v>
      </c>
      <c r="H6">
        <v>2.0310000000000001</v>
      </c>
      <c r="I6">
        <v>2.3820000000000001</v>
      </c>
      <c r="J6">
        <v>2.6379999999999999</v>
      </c>
      <c r="K6">
        <v>4.0540000000000003</v>
      </c>
      <c r="L6">
        <v>3.1970000000000001</v>
      </c>
      <c r="M6">
        <v>3.2130000000000001</v>
      </c>
      <c r="N6">
        <v>3.7349999999999999</v>
      </c>
    </row>
    <row r="7" spans="1:14" x14ac:dyDescent="0.25">
      <c r="A7" t="s">
        <v>72</v>
      </c>
      <c r="B7">
        <v>2.0960000000000001</v>
      </c>
      <c r="C7">
        <v>1.728</v>
      </c>
      <c r="D7">
        <v>2.3130000000000002</v>
      </c>
      <c r="E7">
        <v>1.8420000000000001</v>
      </c>
      <c r="F7">
        <v>1.6679999999999999</v>
      </c>
      <c r="G7">
        <v>1.718</v>
      </c>
      <c r="H7">
        <v>1.9730000000000001</v>
      </c>
      <c r="I7">
        <v>2.3839999999999999</v>
      </c>
      <c r="J7">
        <v>2.8170000000000002</v>
      </c>
      <c r="K7">
        <v>3.9780000000000002</v>
      </c>
      <c r="L7">
        <v>3.1030000000000002</v>
      </c>
      <c r="M7">
        <v>3.2429999999999999</v>
      </c>
      <c r="N7">
        <v>3.718</v>
      </c>
    </row>
    <row r="8" spans="1:14" x14ac:dyDescent="0.25">
      <c r="A8" t="s">
        <v>73</v>
      </c>
      <c r="B8">
        <v>2.089</v>
      </c>
      <c r="C8">
        <v>1.708</v>
      </c>
      <c r="D8">
        <v>2.3140000000000001</v>
      </c>
      <c r="E8">
        <v>1.786</v>
      </c>
      <c r="F8">
        <v>1.659</v>
      </c>
      <c r="G8">
        <v>1.7949999999999999</v>
      </c>
      <c r="H8">
        <v>1.9830000000000001</v>
      </c>
      <c r="I8">
        <v>2.3260000000000001</v>
      </c>
      <c r="J8">
        <v>3.14</v>
      </c>
      <c r="K8">
        <v>3.694</v>
      </c>
      <c r="L8">
        <v>3.1269999999999998</v>
      </c>
      <c r="M8">
        <v>3.2770000000000001</v>
      </c>
      <c r="N8">
        <v>3.8370000000000002</v>
      </c>
    </row>
    <row r="9" spans="1:14" x14ac:dyDescent="0.25">
      <c r="A9" t="s">
        <v>74</v>
      </c>
      <c r="B9">
        <v>2.0329999999999999</v>
      </c>
      <c r="C9">
        <v>1.6890000000000001</v>
      </c>
      <c r="D9">
        <v>2.206</v>
      </c>
      <c r="E9">
        <v>1.7569999999999999</v>
      </c>
      <c r="F9">
        <v>1.5860000000000001</v>
      </c>
      <c r="G9">
        <v>1.855</v>
      </c>
      <c r="H9">
        <v>2.0019999999999998</v>
      </c>
      <c r="I9">
        <v>2.2330000000000001</v>
      </c>
      <c r="J9">
        <v>3.044</v>
      </c>
      <c r="K9">
        <v>3.5510000000000002</v>
      </c>
      <c r="L9">
        <v>3.14</v>
      </c>
      <c r="M9">
        <v>3.4089999999999998</v>
      </c>
    </row>
    <row r="10" spans="1:14" x14ac:dyDescent="0.25">
      <c r="A10" t="s">
        <v>75</v>
      </c>
      <c r="B10">
        <v>1.982</v>
      </c>
      <c r="C10">
        <v>1.661</v>
      </c>
      <c r="D10">
        <v>2.0609999999999999</v>
      </c>
      <c r="E10">
        <v>1.8129999999999999</v>
      </c>
      <c r="F10">
        <v>1.6140000000000001</v>
      </c>
      <c r="G10">
        <v>1.986</v>
      </c>
      <c r="H10">
        <v>2.0350000000000001</v>
      </c>
      <c r="I10">
        <v>2.2210000000000001</v>
      </c>
      <c r="J10">
        <v>3.0640000000000001</v>
      </c>
      <c r="K10">
        <v>3.5489999999999999</v>
      </c>
      <c r="L10">
        <v>3.2090000000000001</v>
      </c>
      <c r="M10">
        <v>3.6339999999999999</v>
      </c>
    </row>
    <row r="11" spans="1:14" x14ac:dyDescent="0.25">
      <c r="A11" t="s">
        <v>76</v>
      </c>
      <c r="B11">
        <v>1.9319999999999999</v>
      </c>
      <c r="C11">
        <v>1.619</v>
      </c>
      <c r="D11">
        <v>1.958</v>
      </c>
      <c r="E11">
        <v>1.8069999999999999</v>
      </c>
      <c r="F11">
        <v>1.587</v>
      </c>
      <c r="G11">
        <v>2.0489999999999999</v>
      </c>
      <c r="H11">
        <v>2.173</v>
      </c>
      <c r="I11">
        <v>2.2360000000000002</v>
      </c>
      <c r="J11">
        <v>3.1110000000000002</v>
      </c>
      <c r="K11">
        <v>3.4180000000000001</v>
      </c>
      <c r="L11">
        <v>3.2970000000000002</v>
      </c>
      <c r="M11">
        <v>3.7829999999999999</v>
      </c>
    </row>
    <row r="12" spans="1:14" x14ac:dyDescent="0.25">
      <c r="A12" t="s">
        <v>77</v>
      </c>
      <c r="B12">
        <v>1.8819999999999999</v>
      </c>
      <c r="C12">
        <v>1.591</v>
      </c>
      <c r="D12">
        <v>1.93</v>
      </c>
      <c r="E12">
        <v>1.77</v>
      </c>
      <c r="F12">
        <v>1.5640000000000001</v>
      </c>
      <c r="G12">
        <v>2.0289999999999999</v>
      </c>
      <c r="H12">
        <v>2.2519999999999998</v>
      </c>
      <c r="I12">
        <v>2.2250000000000001</v>
      </c>
      <c r="J12">
        <v>3.2240000000000002</v>
      </c>
      <c r="K12">
        <v>3.278</v>
      </c>
      <c r="L12">
        <v>3.2050000000000001</v>
      </c>
      <c r="M12">
        <v>3.823</v>
      </c>
    </row>
    <row r="13" spans="1:14" x14ac:dyDescent="0.25">
      <c r="A13" t="s">
        <v>78</v>
      </c>
      <c r="B13">
        <v>1.966</v>
      </c>
      <c r="C13">
        <v>1.6120000000000001</v>
      </c>
      <c r="D13">
        <v>1.845</v>
      </c>
      <c r="E13">
        <v>1.76</v>
      </c>
      <c r="F13">
        <v>1.597</v>
      </c>
      <c r="G13">
        <v>2.0289999999999999</v>
      </c>
      <c r="H13">
        <v>2.3420000000000001</v>
      </c>
      <c r="I13">
        <v>2.2679999999999998</v>
      </c>
      <c r="J13">
        <v>3.5150000000000001</v>
      </c>
      <c r="K13">
        <v>3.2080000000000002</v>
      </c>
      <c r="L13">
        <v>3.153</v>
      </c>
      <c r="M13">
        <v>3.9329999999999998</v>
      </c>
    </row>
    <row r="14" spans="1:14" x14ac:dyDescent="0.25">
      <c r="A14" t="s">
        <v>79</v>
      </c>
      <c r="B14">
        <v>1.9</v>
      </c>
      <c r="C14">
        <v>1.8</v>
      </c>
      <c r="D14">
        <v>1.82</v>
      </c>
      <c r="E14">
        <v>1.7190000000000001</v>
      </c>
      <c r="F14">
        <v>1.75</v>
      </c>
      <c r="G14">
        <v>2.028</v>
      </c>
      <c r="H14">
        <v>2.27</v>
      </c>
      <c r="I14">
        <v>2.3330000000000002</v>
      </c>
      <c r="J14">
        <v>3.8959999999999999</v>
      </c>
      <c r="K14">
        <v>3.2559999999999998</v>
      </c>
      <c r="L14">
        <v>3.1379999999999999</v>
      </c>
      <c r="M14">
        <v>4.1079999999999997</v>
      </c>
    </row>
    <row r="15" spans="1:14" x14ac:dyDescent="0.25">
      <c r="A15" t="s">
        <v>80</v>
      </c>
      <c r="B15">
        <v>1.8009999999999999</v>
      </c>
      <c r="C15">
        <v>2.173</v>
      </c>
      <c r="D15">
        <v>1.738</v>
      </c>
      <c r="E15">
        <v>1.6839999999999999</v>
      </c>
      <c r="F15">
        <v>1.7729999999999999</v>
      </c>
      <c r="G15">
        <v>2.0289999999999999</v>
      </c>
      <c r="H15">
        <v>2.1890000000000001</v>
      </c>
      <c r="I15">
        <v>2.448</v>
      </c>
      <c r="J15">
        <v>3.8759999999999999</v>
      </c>
      <c r="K15">
        <v>3.1859999999999999</v>
      </c>
      <c r="L15">
        <v>3.1960000000000002</v>
      </c>
      <c r="M15">
        <v>3.7610000000000001</v>
      </c>
    </row>
    <row r="16" spans="1:14" x14ac:dyDescent="0.25">
      <c r="A16" t="s">
        <v>81</v>
      </c>
      <c r="B16">
        <v>1.77</v>
      </c>
      <c r="C16">
        <v>2.266</v>
      </c>
      <c r="D16">
        <v>1.726</v>
      </c>
      <c r="E16">
        <v>1.7130000000000001</v>
      </c>
      <c r="F16">
        <v>1.7909999999999999</v>
      </c>
      <c r="G16">
        <v>2.0670000000000002</v>
      </c>
      <c r="H16">
        <v>2.2970000000000002</v>
      </c>
      <c r="I16">
        <v>2.5379999999999998</v>
      </c>
      <c r="J16">
        <v>3.778</v>
      </c>
      <c r="K16">
        <v>3.339</v>
      </c>
      <c r="L16">
        <v>3.2570000000000001</v>
      </c>
      <c r="M16">
        <v>3.7879999999999998</v>
      </c>
    </row>
    <row r="17" spans="1:17" x14ac:dyDescent="0.25">
      <c r="A17" t="s">
        <v>82</v>
      </c>
      <c r="B17">
        <v>1.7869999999999999</v>
      </c>
      <c r="C17">
        <v>2.3980000000000001</v>
      </c>
      <c r="D17">
        <v>1.7509999999999999</v>
      </c>
      <c r="E17">
        <v>1.6950000000000001</v>
      </c>
      <c r="F17">
        <v>1.837</v>
      </c>
      <c r="G17">
        <v>2.08</v>
      </c>
      <c r="H17">
        <v>2.3450000000000002</v>
      </c>
      <c r="I17">
        <v>2.6440000000000001</v>
      </c>
      <c r="J17">
        <v>3.8690000000000002</v>
      </c>
      <c r="K17">
        <v>3.351</v>
      </c>
      <c r="L17">
        <v>3.2970000000000002</v>
      </c>
      <c r="M17">
        <v>3.8839999999999999</v>
      </c>
    </row>
    <row r="18" spans="1:17" x14ac:dyDescent="0.25">
      <c r="A18" t="s">
        <v>83</v>
      </c>
    </row>
    <row r="19" spans="1:17" x14ac:dyDescent="0.25">
      <c r="A19" t="s">
        <v>84</v>
      </c>
    </row>
    <row r="20" spans="1:17" x14ac:dyDescent="0.25">
      <c r="A20" t="s">
        <v>85</v>
      </c>
    </row>
    <row r="25" spans="1:17" x14ac:dyDescent="0.25">
      <c r="Q25">
        <f>211200/4.054</f>
        <v>52096.694622594965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E14"/>
  <sheetViews>
    <sheetView workbookViewId="0">
      <selection activeCell="F18" sqref="F18"/>
    </sheetView>
  </sheetViews>
  <sheetFormatPr defaultRowHeight="15" x14ac:dyDescent="0.25"/>
  <cols>
    <col min="1" max="1" width="14.42578125" customWidth="1"/>
    <col min="2" max="2" width="12.28515625" customWidth="1"/>
    <col min="3" max="3" width="17.140625" customWidth="1"/>
    <col min="4" max="4" width="15.85546875" customWidth="1"/>
    <col min="5" max="5" width="14.42578125" customWidth="1"/>
  </cols>
  <sheetData>
    <row r="1" spans="1:5" x14ac:dyDescent="0.25">
      <c r="B1">
        <v>2016</v>
      </c>
      <c r="C1">
        <v>2017</v>
      </c>
      <c r="D1">
        <v>2018</v>
      </c>
      <c r="E1">
        <v>2019</v>
      </c>
    </row>
    <row r="2" spans="1:5" x14ac:dyDescent="0.25">
      <c r="A2" t="s">
        <v>71</v>
      </c>
      <c r="B2" s="20" t="e">
        <f>'Folha de Pagamento'!#REF!/'Valor do dólar'!K6</f>
        <v>#REF!</v>
      </c>
      <c r="C2" s="20" t="e">
        <f>'Folha de Pagamento'!#REF!/'Valor do dólar'!L6</f>
        <v>#REF!</v>
      </c>
      <c r="D2" s="20" t="e">
        <f>'Folha de Pagamento'!#REF!/'Valor do dólar'!M6</f>
        <v>#REF!</v>
      </c>
      <c r="E2" s="20" t="e">
        <f>'Folha de Pagamento'!#REF!/'Valor do dólar'!N6</f>
        <v>#REF!</v>
      </c>
    </row>
    <row r="3" spans="1:5" x14ac:dyDescent="0.25">
      <c r="A3" t="s">
        <v>72</v>
      </c>
      <c r="B3" s="20" t="e">
        <f>'Folha de Pagamento'!#REF!/'Valor do dólar'!K7</f>
        <v>#REF!</v>
      </c>
      <c r="C3" s="20" t="e">
        <f>'Folha de Pagamento'!#REF!/'Valor do dólar'!L7</f>
        <v>#REF!</v>
      </c>
      <c r="D3" s="20" t="e">
        <f>'Folha de Pagamento'!#REF!/'Valor do dólar'!M7</f>
        <v>#REF!</v>
      </c>
      <c r="E3" s="20" t="e">
        <f>'Folha de Pagamento'!#REF!/'Valor do dólar'!N7</f>
        <v>#REF!</v>
      </c>
    </row>
    <row r="4" spans="1:5" x14ac:dyDescent="0.25">
      <c r="A4" t="s">
        <v>73</v>
      </c>
      <c r="B4" s="20" t="e">
        <f>'Folha de Pagamento'!#REF!/'Valor do dólar'!K8</f>
        <v>#REF!</v>
      </c>
      <c r="C4" s="20" t="e">
        <f>'Folha de Pagamento'!#REF!/'Valor do dólar'!L8</f>
        <v>#REF!</v>
      </c>
      <c r="D4" s="20" t="e">
        <f>'Folha de Pagamento'!#REF!/'Valor do dólar'!M8</f>
        <v>#REF!</v>
      </c>
      <c r="E4" s="20" t="e">
        <f>'Folha de Pagamento'!#REF!/'Valor do dólar'!N8</f>
        <v>#REF!</v>
      </c>
    </row>
    <row r="5" spans="1:5" x14ac:dyDescent="0.25">
      <c r="A5" t="s">
        <v>74</v>
      </c>
      <c r="B5" s="20" t="e">
        <f>'Folha de Pagamento'!#REF!/'Valor do dólar'!K9</f>
        <v>#REF!</v>
      </c>
      <c r="C5" s="20" t="e">
        <f>'Folha de Pagamento'!#REF!/'Valor do dólar'!L9</f>
        <v>#REF!</v>
      </c>
      <c r="D5" s="20" t="e">
        <f>'Folha de Pagamento'!#REF!/'Valor do dólar'!M9</f>
        <v>#REF!</v>
      </c>
      <c r="E5" s="20"/>
    </row>
    <row r="6" spans="1:5" x14ac:dyDescent="0.25">
      <c r="A6" t="s">
        <v>75</v>
      </c>
      <c r="B6" s="20" t="e">
        <f>'Folha de Pagamento'!#REF!/'Valor do dólar'!K10</f>
        <v>#REF!</v>
      </c>
      <c r="C6" s="20" t="e">
        <f>'Folha de Pagamento'!#REF!/'Valor do dólar'!L10</f>
        <v>#REF!</v>
      </c>
      <c r="D6" s="20" t="e">
        <f>'Folha de Pagamento'!#REF!/'Valor do dólar'!M10</f>
        <v>#REF!</v>
      </c>
      <c r="E6" s="20"/>
    </row>
    <row r="7" spans="1:5" x14ac:dyDescent="0.25">
      <c r="A7" t="s">
        <v>76</v>
      </c>
      <c r="B7" s="20" t="e">
        <f>'Folha de Pagamento'!#REF!/'Valor do dólar'!K11</f>
        <v>#REF!</v>
      </c>
      <c r="C7" s="20" t="e">
        <f>'Folha de Pagamento'!#REF!/'Valor do dólar'!L11</f>
        <v>#REF!</v>
      </c>
      <c r="D7" s="20" t="e">
        <f>'Folha de Pagamento'!#REF!/'Valor do dólar'!M11</f>
        <v>#REF!</v>
      </c>
      <c r="E7" s="20"/>
    </row>
    <row r="8" spans="1:5" x14ac:dyDescent="0.25">
      <c r="A8" t="s">
        <v>77</v>
      </c>
      <c r="B8" s="20" t="e">
        <f>'Folha de Pagamento'!#REF!/'Valor do dólar'!K12</f>
        <v>#REF!</v>
      </c>
      <c r="C8" s="20" t="e">
        <f>'Folha de Pagamento'!#REF!/'Valor do dólar'!L12</f>
        <v>#REF!</v>
      </c>
      <c r="D8" s="20" t="e">
        <f>'Folha de Pagamento'!#REF!/'Valor do dólar'!M12</f>
        <v>#REF!</v>
      </c>
      <c r="E8" s="20"/>
    </row>
    <row r="9" spans="1:5" x14ac:dyDescent="0.25">
      <c r="A9" t="s">
        <v>78</v>
      </c>
      <c r="B9" s="20" t="e">
        <f>'Folha de Pagamento'!#REF!/'Valor do dólar'!K13</f>
        <v>#REF!</v>
      </c>
      <c r="C9" s="20" t="e">
        <f>'Folha de Pagamento'!#REF!/'Valor do dólar'!L13</f>
        <v>#REF!</v>
      </c>
      <c r="D9" s="20" t="e">
        <f>'Folha de Pagamento'!#REF!/'Valor do dólar'!M13</f>
        <v>#REF!</v>
      </c>
      <c r="E9" s="20"/>
    </row>
    <row r="10" spans="1:5" x14ac:dyDescent="0.25">
      <c r="A10" t="s">
        <v>79</v>
      </c>
      <c r="B10" s="20" t="e">
        <f>'Folha de Pagamento'!#REF!/'Valor do dólar'!K14</f>
        <v>#REF!</v>
      </c>
      <c r="C10" s="20" t="e">
        <f>'Folha de Pagamento'!#REF!/'Valor do dólar'!L14</f>
        <v>#REF!</v>
      </c>
      <c r="D10" s="20" t="e">
        <f>'Folha de Pagamento'!#REF!/'Valor do dólar'!M14</f>
        <v>#REF!</v>
      </c>
      <c r="E10" s="20"/>
    </row>
    <row r="11" spans="1:5" x14ac:dyDescent="0.25">
      <c r="A11" t="s">
        <v>80</v>
      </c>
      <c r="B11" s="20" t="e">
        <f>'Folha de Pagamento'!#REF!/'Valor do dólar'!K15</f>
        <v>#REF!</v>
      </c>
      <c r="C11" s="20" t="e">
        <f>'Folha de Pagamento'!#REF!/'Valor do dólar'!L15</f>
        <v>#REF!</v>
      </c>
      <c r="D11" s="20" t="e">
        <f>'Folha de Pagamento'!#REF!/'Valor do dólar'!M15</f>
        <v>#REF!</v>
      </c>
      <c r="E11" s="20"/>
    </row>
    <row r="12" spans="1:5" x14ac:dyDescent="0.25">
      <c r="A12" t="s">
        <v>81</v>
      </c>
      <c r="B12" s="20" t="e">
        <f>'Folha de Pagamento'!#REF!/'Valor do dólar'!K16</f>
        <v>#REF!</v>
      </c>
      <c r="C12" s="20" t="e">
        <f>'Folha de Pagamento'!#REF!/'Valor do dólar'!L16</f>
        <v>#REF!</v>
      </c>
      <c r="D12" s="20" t="e">
        <f>'Folha de Pagamento'!#REF!/'Valor do dólar'!M16</f>
        <v>#REF!</v>
      </c>
      <c r="E12" s="20"/>
    </row>
    <row r="13" spans="1:5" x14ac:dyDescent="0.25">
      <c r="A13" t="s">
        <v>82</v>
      </c>
      <c r="B13" s="20" t="e">
        <f>'Folha de Pagamento'!#REF!/'Valor do dólar'!K17</f>
        <v>#REF!</v>
      </c>
      <c r="C13" s="20" t="e">
        <f>'Folha de Pagamento'!#REF!/'Valor do dólar'!L17</f>
        <v>#REF!</v>
      </c>
      <c r="D13" s="20" t="e">
        <f>'Folha de Pagamento'!#REF!/'Valor do dólar'!M17</f>
        <v>#REF!</v>
      </c>
      <c r="E13" s="20"/>
    </row>
    <row r="14" spans="1:5" x14ac:dyDescent="0.25">
      <c r="E14" s="20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10</vt:i4>
      </vt:variant>
    </vt:vector>
  </HeadingPairs>
  <TitlesOfParts>
    <vt:vector size="19" baseType="lpstr">
      <vt:lpstr>Folha de Pagamento</vt:lpstr>
      <vt:lpstr>CADASTRO</vt:lpstr>
      <vt:lpstr>CARGO FOLHA</vt:lpstr>
      <vt:lpstr>Funcionários</vt:lpstr>
      <vt:lpstr>Cargos</vt:lpstr>
      <vt:lpstr>INSS</vt:lpstr>
      <vt:lpstr>IRRF</vt:lpstr>
      <vt:lpstr>Valor do dólar</vt:lpstr>
      <vt:lpstr>Exercício</vt:lpstr>
      <vt:lpstr>CARGOS</vt:lpstr>
      <vt:lpstr>'Valor do dólar'!cotacao</vt:lpstr>
      <vt:lpstr>FUNCIONARIOS</vt:lpstr>
      <vt:lpstr>FUNCIONARIOS2</vt:lpstr>
      <vt:lpstr>INSS</vt:lpstr>
      <vt:lpstr>INSSs</vt:lpstr>
      <vt:lpstr>IRRF</vt:lpstr>
      <vt:lpstr>SalariosBrutos</vt:lpstr>
      <vt:lpstr>SalariosLiquidos</vt:lpstr>
      <vt:lpstr>TABELACARGO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2021-11-06T17:48:44Z</dcterms:modified>
</cp:coreProperties>
</file>