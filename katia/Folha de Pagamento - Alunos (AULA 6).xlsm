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katia\"/>
    </mc:Choice>
  </mc:AlternateContent>
  <bookViews>
    <workbookView xWindow="-105" yWindow="-105" windowWidth="23250" windowHeight="12570"/>
  </bookViews>
  <sheets>
    <sheet name="Folha de Pagamento" sheetId="1" r:id="rId1"/>
    <sheet name="CARGO FOLHA" sheetId="10" r:id="rId2"/>
    <sheet name="Funcionários" sheetId="9" r:id="rId3"/>
    <sheet name="Cargos" sheetId="2" r:id="rId4"/>
    <sheet name="INSS" sheetId="3" r:id="rId5"/>
    <sheet name="IRRF" sheetId="4" r:id="rId6"/>
  </sheets>
  <definedNames>
    <definedName name="CARGOS">Cargos!$A$3:$C$8</definedName>
    <definedName name="FUNCIONARIOS">'Folha de Pagamento'!$A$6:$K$21</definedName>
    <definedName name="FUNCIONARIOS2">'Folha de Pagamento'!$A$5:$K$21</definedName>
    <definedName name="INSS">INSS!$A$4:$C$7</definedName>
    <definedName name="INSSs">'Folha de Pagamento'!$F$6:$F$21</definedName>
    <definedName name="IRRF">IRRF!$A$4:$C$11</definedName>
    <definedName name="SalariosBrutos">'Folha de Pagamento'!$E$6:$E$21</definedName>
    <definedName name="SalariosLiquidos">'Folha de Pagamento'!$K$6:$K$21</definedName>
    <definedName name="TABELACARGO">Cargos!$A$2:$C$8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4" i="1" l="1"/>
  <c r="E25" i="1"/>
  <c r="B2" i="10"/>
  <c r="C2" i="10" s="1"/>
  <c r="M7" i="1"/>
  <c r="N7" i="1" s="1"/>
  <c r="M8" i="1"/>
  <c r="N8" i="1" s="1"/>
  <c r="M9" i="1"/>
  <c r="N9" i="1" s="1"/>
  <c r="M10" i="1"/>
  <c r="N10" i="1" s="1"/>
  <c r="M11" i="1"/>
  <c r="N11" i="1" s="1"/>
  <c r="M12" i="1"/>
  <c r="N12" i="1" s="1"/>
  <c r="M13" i="1"/>
  <c r="N13" i="1" s="1"/>
  <c r="M14" i="1"/>
  <c r="N14" i="1" s="1"/>
  <c r="M15" i="1"/>
  <c r="N15" i="1" s="1"/>
  <c r="M16" i="1"/>
  <c r="N16" i="1" s="1"/>
  <c r="M17" i="1"/>
  <c r="N17" i="1" s="1"/>
  <c r="M18" i="1"/>
  <c r="N18" i="1" s="1"/>
  <c r="M19" i="1"/>
  <c r="N19" i="1" s="1"/>
  <c r="M20" i="1"/>
  <c r="N20" i="1" s="1"/>
  <c r="M21" i="1"/>
  <c r="N21" i="1" s="1"/>
  <c r="M6" i="1"/>
  <c r="N6" i="1" s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6" i="1"/>
  <c r="E6" i="1"/>
  <c r="E22" i="1" s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3" i="1"/>
  <c r="D24" i="1"/>
  <c r="D2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E23" i="1" l="1"/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5" i="1" l="1"/>
  <c r="H22" i="1"/>
  <c r="H24" i="1"/>
  <c r="H23" i="1"/>
  <c r="I24" i="1" l="1"/>
  <c r="I23" i="1"/>
  <c r="I25" i="1"/>
  <c r="I22" i="1"/>
  <c r="K22" i="1" l="1"/>
  <c r="J24" i="1"/>
  <c r="J23" i="1"/>
  <c r="J25" i="1"/>
  <c r="J22" i="1"/>
  <c r="K25" i="1"/>
  <c r="K23" i="1"/>
  <c r="K24" i="1"/>
</calcChain>
</file>

<file path=xl/sharedStrings.xml><?xml version="1.0" encoding="utf-8"?>
<sst xmlns="http://schemas.openxmlformats.org/spreadsheetml/2006/main" count="90" uniqueCount="70">
  <si>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</si>
  <si>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</si>
  <si>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</si>
  <si>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</si>
  <si>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</si>
  <si>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</si>
  <si>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</si>
  <si>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</si>
  <si>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</si>
  <si>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</si>
  <si>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</si>
  <si>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</si>
  <si>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</si>
  <si>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</si>
  <si>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</si>
  <si>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</si>
  <si>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</si>
  <si>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</si>
  <si>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</si>
  <si>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</si>
  <si>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</si>
  <si>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</si>
  <si>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</si>
  <si>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</si>
  <si>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</si>
  <si>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</si>
  <si>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</si>
  <si>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</si>
  <si>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</si>
  <si>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</si>
  <si>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</si>
  <si>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</si>
  <si>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</si>
  <si>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</si>
  <si>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</si>
  <si>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</si>
  <si>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</si>
  <si>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</si>
  <si>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</si>
  <si>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</si>
  <si>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</si>
  <si>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</si>
  <si>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</si>
  <si>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</si>
  <si>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</si>
  <si>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</si>
  <si>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</si>
  <si>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</si>
  <si>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</si>
  <si>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</si>
  <si>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</si>
  <si>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</si>
  <si>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</si>
  <si>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</si>
  <si>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</si>
  <si>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</si>
  <si>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</si>
  <si>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</si>
  <si>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</si>
  <si>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</si>
  <si>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</si>
  <si>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</si>
  <si>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</si>
  <si>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</si>
  <si>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</si>
  <si>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</si>
  <si>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</si>
  <si>
    <t>CRACHÁ</t>
  </si>
  <si>
    <t>CÓD.BARRA</t>
  </si>
  <si>
    <t>TOTAL BRUTO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</si>
</sst>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164" formatCode="mm/yyyy"/>
    <numFmt numFmtId="165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barcode font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165" fontId="1" fillId="0" borderId="0" xfId="0" applyNumberFormat="1" applyFont="1"/>
    <xf numFmtId="44" fontId="0" fillId="0" borderId="0" xfId="1" applyFont="1"/>
    <xf numFmtId="0" fontId="4" fillId="2" borderId="1" xfId="0" applyFont="1" applyFill="1" applyBorder="1"/>
    <xf numFmtId="0" fontId="6" fillId="0" borderId="0" xfId="0" applyFont="1"/>
    <xf numFmtId="0" fontId="5" fillId="3" borderId="0" xfId="0" applyFont="1" applyFill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Moeda" xfId="1" builtinId="4"/>
    <cellStyle name="Normal" xfId="0" builtinId="0"/>
  </cellStyles>
  <dxfs count="10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_-[$R$-416]\ * #,##0.00_-;\-[$R$-416]\ * #,##0.00_-;_-[$R$-416]\ * &quot;-&quot;??_-;_-@_-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abela2" displayName="Tabela2" ref="A5:K25" totalsRowShown="0" headerRowDxfId="9">
  <autoFilter ref="A5:K25"/>
  <tableColumns count="11">
    <tableColumn id="1" name="Funcionário" dataDxfId="8"/>
    <tableColumn id="2" name="Cód.Cargo"/>
    <tableColumn id="3" name="Cargo" dataDxfId="7">
      <calculatedColumnFormula>IF(AND(B6&gt;=1,B6&lt;=15),VLOOKUP(B6,TABELACARGO,2),"CARGO INEXISTENTE")</calculatedColumnFormula>
    </tableColumn>
    <tableColumn id="4" name="Nr. Sal. " dataDxfId="6">
      <calculatedColumnFormula>IF(AND($B6&gt;=1,$B6&lt;=15),VLOOKUP($B6,TABELACARGO,3)," ")</calculatedColumnFormula>
    </tableColumn>
    <tableColumn id="5" name="Sal. Bruto " dataDxfId="5"/>
    <tableColumn id="6" name="INSS" dataDxfId="4"/>
    <tableColumn id="7" name="Dep."/>
    <tableColumn id="8" name="Sal. Fam. " dataDxfId="3"/>
    <tableColumn id="9" name="IRRF " dataDxfId="2"/>
    <tableColumn id="10" name="Tot. Desc. " dataDxfId="1"/>
    <tableColumn id="11" name="Sal. Líq.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N25"/>
  <sheetViews>
    <sheetView tabSelected="1" workbookViewId="0">
      <selection activeCell="J33" sqref="J33"/>
    </sheetView>
  </sheetViews>
  <sheetFormatPr defaultRowHeight="15" x14ac:dyDescent="0.25"/>
  <cols>
    <col min="1" max="1" width="23.7109375" customWidth="1"/>
    <col min="2" max="2" width="13.42578125" customWidth="1"/>
    <col min="3" max="3" width="27.140625" bestFit="1" customWidth="1"/>
    <col min="4" max="4" width="10.85546875" customWidth="1"/>
    <col min="5" max="5" width="13.85546875" customWidth="1"/>
    <col min="6" max="6" width="20.5703125" customWidth="1"/>
    <col min="7" max="7" width="9" customWidth="1"/>
    <col min="8" max="8" width="10.85546875" customWidth="1"/>
    <col min="9" max="9" width="13.5703125" customWidth="1"/>
    <col min="10" max="10" width="11.5703125" customWidth="1"/>
    <col min="11" max="11" width="12.28515625" customWidth="1"/>
    <col min="12" max="12" width="18.7109375" customWidth="1"/>
    <col min="13" max="13" width="14.5703125" customWidth="1"/>
    <col min="14" max="14" width="24.42578125" customWidth="1"/>
  </cols>
  <sheetData>
    <row r="1" spans="1:14" x14ac:dyDescent="0.25">
      <c r="A1" s="15" t="s">
        <v>44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3" spans="1:14" x14ac:dyDescent="0.25">
      <c r="A3" t="s">
        <v>0</v>
      </c>
      <c r="B3" s="8">
        <v>1100</v>
      </c>
      <c r="D3" t="s">
        <v>30</v>
      </c>
      <c r="E3" s="7">
        <v>44470</v>
      </c>
    </row>
    <row r="5" spans="1:14" x14ac:dyDescent="0.25">
      <c r="A5" s="1" t="s">
        <v>1</v>
      </c>
      <c r="B5" s="1" t="s">
        <v>29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/>
      <c r="M5" t="s">
        <v>67</v>
      </c>
      <c r="N5" t="s">
        <v>68</v>
      </c>
    </row>
    <row r="6" spans="1:14" x14ac:dyDescent="0.25">
      <c r="A6" t="str">
        <f>TRIM(CONCATENATE(PROPER(Funcionários!B2)," ",Funcionários!C2," ",PROPER((Funcionários!A2))))</f>
        <v>José Carlos de Almeida</v>
      </c>
      <c r="B6">
        <v>2</v>
      </c>
      <c r="C6" t="str">
        <f t="shared" ref="C6:C21" si="0">IF(AND(B6&gt;=1,B6&lt;=15),VLOOKUP(B6,TABELACARGO,2),"CARGO INEXISTENTE")</f>
        <v>Auxiliar de Contabilidade</v>
      </c>
      <c r="D6">
        <f t="shared" ref="D6:D21" si="1">IF(AND($B6&gt;=1,$B6&lt;=15),VLOOKUP($B6,TABELACARGO,3)," ")</f>
        <v>6</v>
      </c>
      <c r="E6" s="8">
        <f>(B$3*D6)</f>
        <v>6600</v>
      </c>
      <c r="F6" s="8">
        <f t="shared" ref="F6:F21" si="2">VLOOKUP(D6,INSS,3,TRUE)*E6</f>
        <v>462.00000000000006</v>
      </c>
      <c r="G6">
        <v>1</v>
      </c>
      <c r="H6" s="2"/>
      <c r="I6" s="11">
        <f t="shared" ref="I6:I21" si="3">VLOOKUP(G6,IRRF,3,TRUE)*E6</f>
        <v>132</v>
      </c>
      <c r="J6" s="2"/>
      <c r="K6" s="2"/>
      <c r="M6">
        <f ca="1">RANDBETWEEN(10000000,99999999)</f>
        <v>32543002</v>
      </c>
      <c r="N6" s="13">
        <f ca="1">M6</f>
        <v>32543002</v>
      </c>
    </row>
    <row r="7" spans="1:14" x14ac:dyDescent="0.25">
      <c r="A7" t="str">
        <f>TRIM(CONCATENATE(PROPER(Funcionários!B3)," ",Funcionários!C3," ",PROPER((Funcionários!A3))))</f>
        <v>Marisa Abreu Silva</v>
      </c>
      <c r="B7">
        <v>2</v>
      </c>
      <c r="C7" t="str">
        <f t="shared" si="0"/>
        <v>Auxiliar de Contabilidade</v>
      </c>
      <c r="D7">
        <f t="shared" si="1"/>
        <v>6</v>
      </c>
      <c r="E7" s="8">
        <f t="shared" ref="E7:E21" si="4">IFERROR(B$3*D7," ")</f>
        <v>6600</v>
      </c>
      <c r="F7" s="8">
        <f t="shared" si="2"/>
        <v>462.00000000000006</v>
      </c>
      <c r="G7">
        <v>2</v>
      </c>
      <c r="H7" s="2"/>
      <c r="I7" s="11">
        <f t="shared" si="3"/>
        <v>264</v>
      </c>
      <c r="J7" s="2"/>
      <c r="K7" s="2"/>
      <c r="M7">
        <f t="shared" ref="M7:M21" ca="1" si="5">RANDBETWEEN(10000000,99999999)</f>
        <v>92558199</v>
      </c>
      <c r="N7" s="13">
        <f t="shared" ref="N7:N21" ca="1" si="6">M7</f>
        <v>92558199</v>
      </c>
    </row>
    <row r="8" spans="1:14" x14ac:dyDescent="0.25">
      <c r="A8" t="str">
        <f>TRIM(CONCATENATE(PROPER(Funcionários!B4)," ",Funcionários!C4," ",PROPER((Funcionários!A4))))</f>
        <v>Pedro de Almeida</v>
      </c>
      <c r="B8">
        <v>3</v>
      </c>
      <c r="C8" t="str">
        <f t="shared" si="0"/>
        <v>Chefe de Cobrança</v>
      </c>
      <c r="D8">
        <f t="shared" si="1"/>
        <v>15</v>
      </c>
      <c r="E8" s="8">
        <f t="shared" si="4"/>
        <v>16500</v>
      </c>
      <c r="F8" s="8">
        <f t="shared" si="2"/>
        <v>1650</v>
      </c>
      <c r="G8">
        <v>3</v>
      </c>
      <c r="H8" s="2"/>
      <c r="I8" s="11">
        <f t="shared" si="3"/>
        <v>660</v>
      </c>
      <c r="J8" s="2"/>
      <c r="K8" s="2"/>
      <c r="M8">
        <f t="shared" ca="1" si="5"/>
        <v>83958578</v>
      </c>
      <c r="N8" s="13">
        <f t="shared" ca="1" si="6"/>
        <v>83958578</v>
      </c>
    </row>
    <row r="9" spans="1:14" x14ac:dyDescent="0.25">
      <c r="A9" t="str">
        <f>TRIM(CONCATENATE(PROPER(Funcionários!B5)," ",Funcionários!C5," ",PROPER((Funcionários!A5))))</f>
        <v>Vera Jesus</v>
      </c>
      <c r="B9">
        <v>4</v>
      </c>
      <c r="C9" t="str">
        <f t="shared" si="0"/>
        <v>Chefe de Expedição</v>
      </c>
      <c r="D9">
        <f t="shared" si="1"/>
        <v>7</v>
      </c>
      <c r="E9" s="8">
        <f t="shared" si="4"/>
        <v>7700</v>
      </c>
      <c r="F9" s="8">
        <f t="shared" si="2"/>
        <v>539</v>
      </c>
      <c r="G9">
        <v>0</v>
      </c>
      <c r="H9" s="2"/>
      <c r="I9" s="11">
        <f t="shared" si="3"/>
        <v>154</v>
      </c>
      <c r="J9" s="2"/>
      <c r="K9" s="2"/>
      <c r="M9">
        <f t="shared" ca="1" si="5"/>
        <v>25859932</v>
      </c>
      <c r="N9" s="13">
        <f t="shared" ca="1" si="6"/>
        <v>25859932</v>
      </c>
    </row>
    <row r="10" spans="1:14" x14ac:dyDescent="0.25">
      <c r="A10" t="str">
        <f>TRIM(CONCATENATE(PROPER(Funcionários!B6)," ",Funcionários!C6," ",PROPER((Funcionários!A6))))</f>
        <v>Mario Paulo Simões</v>
      </c>
      <c r="B10">
        <v>5</v>
      </c>
      <c r="C10" t="str">
        <f t="shared" si="0"/>
        <v>Contador</v>
      </c>
      <c r="D10">
        <f t="shared" si="1"/>
        <v>13</v>
      </c>
      <c r="E10" s="8">
        <f t="shared" si="4"/>
        <v>14300</v>
      </c>
      <c r="F10" s="8">
        <f t="shared" si="2"/>
        <v>1430</v>
      </c>
      <c r="G10">
        <v>0</v>
      </c>
      <c r="H10" s="2"/>
      <c r="I10" s="11">
        <f t="shared" si="3"/>
        <v>286</v>
      </c>
      <c r="J10" s="2"/>
      <c r="K10" s="2"/>
      <c r="M10">
        <f t="shared" ca="1" si="5"/>
        <v>80139574</v>
      </c>
      <c r="N10" s="13">
        <f t="shared" ca="1" si="6"/>
        <v>80139574</v>
      </c>
    </row>
    <row r="11" spans="1:14" x14ac:dyDescent="0.25">
      <c r="A11" t="str">
        <f>TRIM(CONCATENATE(PROPER(Funcionários!B7)," ",Funcionários!C7," ",PROPER((Funcionários!A7))))</f>
        <v>Sheila Maria de Souza</v>
      </c>
      <c r="B11">
        <v>6</v>
      </c>
      <c r="C11" t="str">
        <f t="shared" si="0"/>
        <v>Diretor de Divisão</v>
      </c>
      <c r="D11">
        <f t="shared" si="1"/>
        <v>20</v>
      </c>
      <c r="E11" s="8">
        <f t="shared" si="4"/>
        <v>22000</v>
      </c>
      <c r="F11" s="8">
        <f t="shared" si="2"/>
        <v>2200</v>
      </c>
      <c r="G11">
        <v>3</v>
      </c>
      <c r="H11" s="2"/>
      <c r="I11" s="11">
        <f t="shared" si="3"/>
        <v>880</v>
      </c>
      <c r="J11" s="2"/>
      <c r="K11" s="2"/>
      <c r="M11">
        <f t="shared" ca="1" si="5"/>
        <v>10365735</v>
      </c>
      <c r="N11" s="13">
        <f t="shared" ca="1" si="6"/>
        <v>10365735</v>
      </c>
    </row>
    <row r="12" spans="1:14" x14ac:dyDescent="0.25">
      <c r="A12" t="str">
        <f>TRIM(CONCATENATE(PROPER(Funcionários!B8)," ",Funcionários!C8," ",PROPER((Funcionários!A8))))</f>
        <v>Maria Lourdes Garcia</v>
      </c>
      <c r="B12">
        <v>5</v>
      </c>
      <c r="C12" t="str">
        <f t="shared" si="0"/>
        <v>Contador</v>
      </c>
      <c r="D12">
        <f t="shared" si="1"/>
        <v>13</v>
      </c>
      <c r="E12" s="8">
        <f t="shared" si="4"/>
        <v>14300</v>
      </c>
      <c r="F12" s="8">
        <f t="shared" si="2"/>
        <v>1430</v>
      </c>
      <c r="G12">
        <v>4</v>
      </c>
      <c r="H12" s="2"/>
      <c r="I12" s="11">
        <f t="shared" si="3"/>
        <v>858</v>
      </c>
      <c r="J12" s="2"/>
      <c r="K12" s="2"/>
      <c r="M12">
        <f t="shared" ca="1" si="5"/>
        <v>67091582</v>
      </c>
      <c r="N12" s="13">
        <f t="shared" ca="1" si="6"/>
        <v>67091582</v>
      </c>
    </row>
    <row r="13" spans="1:14" x14ac:dyDescent="0.25">
      <c r="A13" t="str">
        <f>TRIM(CONCATENATE(PROPER(Funcionários!B9)," ",Funcionários!C9," ",PROPER((Funcionários!A9))))</f>
        <v>Juliana da Silva</v>
      </c>
      <c r="B13">
        <v>6</v>
      </c>
      <c r="C13" t="str">
        <f t="shared" si="0"/>
        <v>Diretor de Divisão</v>
      </c>
      <c r="D13">
        <f t="shared" si="1"/>
        <v>20</v>
      </c>
      <c r="E13" s="8">
        <f t="shared" si="4"/>
        <v>22000</v>
      </c>
      <c r="F13" s="8">
        <f t="shared" si="2"/>
        <v>2200</v>
      </c>
      <c r="G13">
        <v>0</v>
      </c>
      <c r="H13" s="2"/>
      <c r="I13" s="11">
        <f t="shared" si="3"/>
        <v>440</v>
      </c>
      <c r="J13" s="2"/>
      <c r="K13" s="2"/>
      <c r="M13">
        <f t="shared" ca="1" si="5"/>
        <v>17441561</v>
      </c>
      <c r="N13" s="13">
        <f t="shared" ca="1" si="6"/>
        <v>17441561</v>
      </c>
    </row>
    <row r="14" spans="1:14" x14ac:dyDescent="0.25">
      <c r="A14" t="str">
        <f>TRIM(CONCATENATE(PROPER(Funcionários!B10)," ",Funcionários!C10," ",PROPER((Funcionários!A10))))</f>
        <v>Mario Antonio de Abreu</v>
      </c>
      <c r="B14">
        <v>2</v>
      </c>
      <c r="C14" t="str">
        <f t="shared" si="0"/>
        <v>Auxiliar de Contabilidade</v>
      </c>
      <c r="D14">
        <f t="shared" si="1"/>
        <v>6</v>
      </c>
      <c r="E14" s="8">
        <f t="shared" si="4"/>
        <v>6600</v>
      </c>
      <c r="F14" s="8">
        <f t="shared" si="2"/>
        <v>462.00000000000006</v>
      </c>
      <c r="G14">
        <v>2</v>
      </c>
      <c r="H14" s="2"/>
      <c r="I14" s="11">
        <f t="shared" si="3"/>
        <v>264</v>
      </c>
      <c r="J14" s="2"/>
      <c r="K14" s="2"/>
      <c r="M14">
        <f t="shared" ca="1" si="5"/>
        <v>79607179</v>
      </c>
      <c r="N14" s="13">
        <f t="shared" ca="1" si="6"/>
        <v>79607179</v>
      </c>
    </row>
    <row r="15" spans="1:14" x14ac:dyDescent="0.25">
      <c r="A15" t="str">
        <f>TRIM(CONCATENATE(PROPER(Funcionários!B11)," ",Funcionários!C11," ",PROPER((Funcionários!A11))))</f>
        <v>Wanda Silva Juliano</v>
      </c>
      <c r="B15">
        <v>3</v>
      </c>
      <c r="C15" t="str">
        <f t="shared" si="0"/>
        <v>Chefe de Cobrança</v>
      </c>
      <c r="D15">
        <f t="shared" si="1"/>
        <v>15</v>
      </c>
      <c r="E15" s="8">
        <f t="shared" si="4"/>
        <v>16500</v>
      </c>
      <c r="F15" s="8">
        <f t="shared" si="2"/>
        <v>1650</v>
      </c>
      <c r="G15">
        <v>1</v>
      </c>
      <c r="H15" s="2"/>
      <c r="I15" s="11">
        <f t="shared" si="3"/>
        <v>330</v>
      </c>
      <c r="J15" s="2"/>
      <c r="K15" s="2"/>
      <c r="M15">
        <f t="shared" ca="1" si="5"/>
        <v>47091066</v>
      </c>
      <c r="N15" s="13">
        <f t="shared" ca="1" si="6"/>
        <v>47091066</v>
      </c>
    </row>
    <row r="16" spans="1:14" x14ac:dyDescent="0.25">
      <c r="A16" t="str">
        <f>TRIM(CONCATENATE(PROPER(Funcionários!B12)," ",Funcionários!C12," ",PROPER((Funcionários!A12))))</f>
        <v>Antonio da Silva</v>
      </c>
      <c r="B16">
        <v>4</v>
      </c>
      <c r="C16" t="str">
        <f t="shared" si="0"/>
        <v>Chefe de Expedição</v>
      </c>
      <c r="D16">
        <f t="shared" si="1"/>
        <v>7</v>
      </c>
      <c r="E16" s="8">
        <f t="shared" si="4"/>
        <v>7700</v>
      </c>
      <c r="F16" s="8">
        <f t="shared" si="2"/>
        <v>539</v>
      </c>
      <c r="G16">
        <v>1</v>
      </c>
      <c r="H16" s="2"/>
      <c r="I16" s="11">
        <f t="shared" si="3"/>
        <v>154</v>
      </c>
      <c r="J16" s="2"/>
      <c r="K16" s="2"/>
      <c r="M16">
        <f t="shared" ca="1" si="5"/>
        <v>76314430</v>
      </c>
      <c r="N16" s="13">
        <f t="shared" ca="1" si="6"/>
        <v>76314430</v>
      </c>
    </row>
    <row r="17" spans="1:14" x14ac:dyDescent="0.25">
      <c r="A17" t="str">
        <f>TRIM(CONCATENATE(PROPER(Funcionários!B13)," ",Funcionários!C13," ",PROPER((Funcionários!A13))))</f>
        <v>Cezar Pedro de Jesus</v>
      </c>
      <c r="B17">
        <v>5</v>
      </c>
      <c r="C17" t="str">
        <f t="shared" si="0"/>
        <v>Contador</v>
      </c>
      <c r="D17">
        <f t="shared" si="1"/>
        <v>13</v>
      </c>
      <c r="E17" s="8">
        <f t="shared" si="4"/>
        <v>14300</v>
      </c>
      <c r="F17" s="8">
        <f t="shared" si="2"/>
        <v>1430</v>
      </c>
      <c r="G17">
        <v>0</v>
      </c>
      <c r="H17" s="2"/>
      <c r="I17" s="11">
        <f t="shared" si="3"/>
        <v>286</v>
      </c>
      <c r="J17" s="2"/>
      <c r="K17" s="2"/>
      <c r="M17">
        <f t="shared" ca="1" si="5"/>
        <v>76703277</v>
      </c>
      <c r="N17" s="13">
        <f t="shared" ca="1" si="6"/>
        <v>76703277</v>
      </c>
    </row>
    <row r="18" spans="1:14" x14ac:dyDescent="0.25">
      <c r="A18" t="str">
        <f>TRIM(CONCATENATE(PROPER(Funcionários!B14)," ",Funcionários!C14," ",PROPER((Funcionários!A14))))</f>
        <v>Abel de Souza</v>
      </c>
      <c r="B18">
        <v>1</v>
      </c>
      <c r="C18" t="str">
        <f t="shared" si="0"/>
        <v>Análista de Salários</v>
      </c>
      <c r="D18">
        <f t="shared" si="1"/>
        <v>10</v>
      </c>
      <c r="E18" s="8">
        <f t="shared" si="4"/>
        <v>11000</v>
      </c>
      <c r="F18" s="8">
        <f t="shared" si="2"/>
        <v>935.00000000000011</v>
      </c>
      <c r="G18">
        <v>3</v>
      </c>
      <c r="H18" s="2"/>
      <c r="I18" s="11">
        <f t="shared" si="3"/>
        <v>440</v>
      </c>
      <c r="J18" s="2"/>
      <c r="K18" s="2"/>
      <c r="M18">
        <f t="shared" ca="1" si="5"/>
        <v>19096525</v>
      </c>
      <c r="N18" s="13">
        <f t="shared" ca="1" si="6"/>
        <v>19096525</v>
      </c>
    </row>
    <row r="19" spans="1:14" x14ac:dyDescent="0.25">
      <c r="A19" t="str">
        <f>TRIM(CONCATENATE(PROPER(Funcionários!B15)," ",Funcionários!C15," ",PROPER((Funcionários!A15))))</f>
        <v>Antonia de Marinho</v>
      </c>
      <c r="B19">
        <v>2</v>
      </c>
      <c r="C19" t="str">
        <f t="shared" si="0"/>
        <v>Auxiliar de Contabilidade</v>
      </c>
      <c r="D19">
        <f t="shared" si="1"/>
        <v>6</v>
      </c>
      <c r="E19" s="8">
        <f t="shared" si="4"/>
        <v>6600</v>
      </c>
      <c r="F19" s="8">
        <f t="shared" si="2"/>
        <v>462.00000000000006</v>
      </c>
      <c r="G19">
        <v>2</v>
      </c>
      <c r="H19" s="2"/>
      <c r="I19" s="11">
        <f t="shared" si="3"/>
        <v>264</v>
      </c>
      <c r="J19" s="2"/>
      <c r="K19" s="2"/>
      <c r="M19">
        <f t="shared" ca="1" si="5"/>
        <v>93924579</v>
      </c>
      <c r="N19" s="13">
        <f t="shared" ca="1" si="6"/>
        <v>93924579</v>
      </c>
    </row>
    <row r="20" spans="1:14" x14ac:dyDescent="0.25">
      <c r="A20" t="str">
        <f>TRIM(CONCATENATE(PROPER(Funcionários!B16)," ",Funcionários!C16," ",PROPER((Funcionários!A16))))</f>
        <v>Josefa de Malaquias</v>
      </c>
      <c r="B20">
        <v>3</v>
      </c>
      <c r="C20" t="str">
        <f t="shared" si="0"/>
        <v>Chefe de Cobrança</v>
      </c>
      <c r="D20">
        <f t="shared" si="1"/>
        <v>15</v>
      </c>
      <c r="E20" s="8">
        <f t="shared" si="4"/>
        <v>16500</v>
      </c>
      <c r="F20" s="8">
        <f t="shared" si="2"/>
        <v>1650</v>
      </c>
      <c r="G20">
        <v>0</v>
      </c>
      <c r="H20" s="2"/>
      <c r="I20" s="11">
        <f t="shared" si="3"/>
        <v>330</v>
      </c>
      <c r="J20" s="2"/>
      <c r="K20" s="2"/>
      <c r="M20">
        <f t="shared" ca="1" si="5"/>
        <v>12515612</v>
      </c>
      <c r="N20" s="13">
        <f t="shared" ca="1" si="6"/>
        <v>12515612</v>
      </c>
    </row>
    <row r="21" spans="1:14" x14ac:dyDescent="0.25">
      <c r="A21" t="str">
        <f>TRIM(CONCATENATE(PROPER(Funcionários!B17)," ",Funcionários!C17," ",PROPER((Funcionários!A17))))</f>
        <v>Sonia Silva</v>
      </c>
      <c r="B21">
        <v>6</v>
      </c>
      <c r="C21" t="str">
        <f t="shared" si="0"/>
        <v>Diretor de Divisão</v>
      </c>
      <c r="D21">
        <f t="shared" si="1"/>
        <v>20</v>
      </c>
      <c r="E21" s="8">
        <f t="shared" si="4"/>
        <v>22000</v>
      </c>
      <c r="F21" s="8">
        <f t="shared" si="2"/>
        <v>2200</v>
      </c>
      <c r="G21">
        <v>1</v>
      </c>
      <c r="H21" s="2"/>
      <c r="I21" s="11">
        <f t="shared" si="3"/>
        <v>440</v>
      </c>
      <c r="J21" s="2"/>
      <c r="K21" s="2"/>
      <c r="M21">
        <f t="shared" ca="1" si="5"/>
        <v>89878100</v>
      </c>
      <c r="N21" s="13">
        <f t="shared" ca="1" si="6"/>
        <v>89878100</v>
      </c>
    </row>
    <row r="22" spans="1:14" x14ac:dyDescent="0.25">
      <c r="A22" s="1" t="s">
        <v>26</v>
      </c>
      <c r="E22" s="10">
        <f>SUM(E6:E21)</f>
        <v>211200</v>
      </c>
      <c r="F22" s="9"/>
      <c r="H22" s="2">
        <f>SUM(H6:H21)</f>
        <v>0</v>
      </c>
      <c r="I22" s="2">
        <f>SUM(I6:I21)</f>
        <v>6182</v>
      </c>
      <c r="J22" s="2">
        <f>SUM(J6:J21)</f>
        <v>0</v>
      </c>
      <c r="K22" s="6">
        <f>SUM(SalariosLiquidos)</f>
        <v>0</v>
      </c>
    </row>
    <row r="23" spans="1:14" x14ac:dyDescent="0.25">
      <c r="A23" s="1" t="s">
        <v>13</v>
      </c>
      <c r="D23" t="str">
        <f>IF(AND($B23&gt;=1,$B23&lt;=15),VLOOKUP($B23,TABELACARGO,3)," ")</f>
        <v xml:space="preserve"> </v>
      </c>
      <c r="E23" s="8">
        <f>AVERAGE(SalariosBrutos)</f>
        <v>13200</v>
      </c>
      <c r="F23" s="9"/>
      <c r="H23" s="2" t="e">
        <f>AVERAGE(H6:H21)</f>
        <v>#DIV/0!</v>
      </c>
      <c r="I23" s="2">
        <f>AVERAGE(I6:I21)</f>
        <v>386.375</v>
      </c>
      <c r="J23" s="2" t="e">
        <f>AVERAGE(J6:J21)</f>
        <v>#DIV/0!</v>
      </c>
      <c r="K23" s="2" t="e">
        <f>AVERAGE(K6:K21)</f>
        <v>#DIV/0!</v>
      </c>
    </row>
    <row r="24" spans="1:14" x14ac:dyDescent="0.25">
      <c r="A24" s="1" t="s">
        <v>12</v>
      </c>
      <c r="D24" t="str">
        <f>IF(AND($B24&gt;=1,$B24&lt;=15),VLOOKUP($B24,TABELACARGO,3)," ")</f>
        <v xml:space="preserve"> </v>
      </c>
      <c r="E24" s="8">
        <f>LARGE(SalariosBrutos,1)</f>
        <v>22000</v>
      </c>
      <c r="F24" s="9"/>
      <c r="H24" s="2">
        <f>MAX(H6:H21)</f>
        <v>0</v>
      </c>
      <c r="I24" s="2">
        <f>MAX(I6:I21)</f>
        <v>880</v>
      </c>
      <c r="J24" s="2">
        <f>MAX(J6:J21)</f>
        <v>0</v>
      </c>
      <c r="K24" s="2">
        <f>MAX(K6:K21)</f>
        <v>0</v>
      </c>
    </row>
    <row r="25" spans="1:14" x14ac:dyDescent="0.25">
      <c r="A25" s="1" t="s">
        <v>11</v>
      </c>
      <c r="D25" t="str">
        <f>IF(AND($B25&gt;=1,$B25&lt;=15),VLOOKUP($B25,TABELACARGO,3)," ")</f>
        <v xml:space="preserve"> </v>
      </c>
      <c r="E25" s="8">
        <f>SMALL(SalariosBrutos,1)</f>
        <v>6600</v>
      </c>
      <c r="F25" s="2"/>
      <c r="H25" s="2">
        <f>MIN(H6:H21)</f>
        <v>0</v>
      </c>
      <c r="I25" s="2">
        <f>MIN(I6:I21)</f>
        <v>132</v>
      </c>
      <c r="J25" s="2">
        <f>MIN(J6:J21)</f>
        <v>0</v>
      </c>
      <c r="K25" s="2">
        <f>MIN(K6:K21)</f>
        <v>0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6" sqref="C6"/>
    </sheetView>
  </sheetViews>
  <sheetFormatPr defaultRowHeight="15" x14ac:dyDescent="0.25"/>
  <cols>
    <col min="1" max="1" width="15.140625" customWidth="1"/>
    <col min="2" max="2" width="18.28515625" customWidth="1"/>
    <col min="3" max="3" width="22.5703125" customWidth="1"/>
  </cols>
  <sheetData>
    <row r="1" spans="1:3" x14ac:dyDescent="0.25">
      <c r="A1" s="12" t="s">
        <v>29</v>
      </c>
      <c r="B1" s="12" t="s">
        <v>2</v>
      </c>
      <c r="C1" s="14" t="s">
        <v>69</v>
      </c>
    </row>
    <row r="2" spans="1:3" x14ac:dyDescent="0.25">
      <c r="A2">
        <v>5</v>
      </c>
      <c r="B2" t="str">
        <f>VLOOKUP(A2,TABELACARGO,2,FALSE)</f>
        <v>Contador</v>
      </c>
      <c r="C2" s="8">
        <f>DSUM(FUNCIONARIOS2,'Folha de Pagamento'!E5,A1:B2)</f>
        <v>42900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C8"/>
  <sheetViews>
    <sheetView workbookViewId="0">
      <selection activeCell="D19" sqref="D19"/>
    </sheetView>
  </sheetViews>
  <sheetFormatPr defaultRowHeight="15" x14ac:dyDescent="0.25"/>
  <cols>
    <col min="2" max="2" width="21.85546875" customWidth="1"/>
    <col min="4" max="4" width="14.7109375" customWidth="1"/>
  </cols>
  <sheetData>
    <row r="1" spans="1:3" x14ac:dyDescent="0.25">
      <c r="A1" s="16" t="s">
        <v>28</v>
      </c>
      <c r="B1" s="16"/>
      <c r="C1" s="16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"/>
  <sheetViews>
    <sheetView workbookViewId="0">
      <selection activeCell="C11" sqref="C11"/>
    </sheetView>
  </sheetViews>
  <sheetFormatPr defaultRowHeight="15" x14ac:dyDescent="0.25"/>
  <sheetData>
    <row r="1" spans="1:3" x14ac:dyDescent="0.25">
      <c r="A1" s="16" t="s">
        <v>5</v>
      </c>
      <c r="B1" s="16"/>
      <c r="C1" s="16"/>
    </row>
    <row r="2" spans="1:3" x14ac:dyDescent="0.25">
      <c r="A2" s="16" t="s">
        <v>21</v>
      </c>
      <c r="B2" s="16"/>
      <c r="C2" s="17" t="s">
        <v>24</v>
      </c>
    </row>
    <row r="3" spans="1:3" x14ac:dyDescent="0.25">
      <c r="A3" s="3" t="s">
        <v>22</v>
      </c>
      <c r="B3" s="3" t="s">
        <v>23</v>
      </c>
      <c r="C3" s="17"/>
    </row>
    <row r="4" spans="1:3" x14ac:dyDescent="0.25">
      <c r="A4" s="4">
        <v>0</v>
      </c>
      <c r="B4" s="4">
        <v>4</v>
      </c>
      <c r="C4" s="5">
        <v>5.5E-2</v>
      </c>
    </row>
    <row r="5" spans="1:3" x14ac:dyDescent="0.25">
      <c r="A5" s="4">
        <v>5</v>
      </c>
      <c r="B5" s="4">
        <v>7</v>
      </c>
      <c r="C5" s="5">
        <v>7.0000000000000007E-2</v>
      </c>
    </row>
    <row r="6" spans="1:3" x14ac:dyDescent="0.25">
      <c r="A6" s="4">
        <v>8</v>
      </c>
      <c r="B6" s="4">
        <v>10</v>
      </c>
      <c r="C6" s="5">
        <v>8.5000000000000006E-2</v>
      </c>
    </row>
    <row r="7" spans="1:3" x14ac:dyDescent="0.25">
      <c r="A7" s="4">
        <v>11</v>
      </c>
      <c r="B7" s="4" t="s">
        <v>25</v>
      </c>
      <c r="C7" s="5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activeCell="I27" sqref="I27"/>
    </sheetView>
  </sheetViews>
  <sheetFormatPr defaultRowHeight="15" x14ac:dyDescent="0.25"/>
  <sheetData>
    <row r="1" spans="1:3" x14ac:dyDescent="0.25">
      <c r="A1" s="16" t="s">
        <v>27</v>
      </c>
      <c r="B1" s="16"/>
      <c r="C1" s="16"/>
    </row>
    <row r="2" spans="1:3" x14ac:dyDescent="0.25">
      <c r="A2" s="16" t="s">
        <v>21</v>
      </c>
      <c r="B2" s="16"/>
      <c r="C2" s="17" t="s">
        <v>24</v>
      </c>
    </row>
    <row r="3" spans="1:3" x14ac:dyDescent="0.25">
      <c r="A3" s="3" t="s">
        <v>22</v>
      </c>
      <c r="B3" s="3" t="s">
        <v>23</v>
      </c>
      <c r="C3" s="17"/>
    </row>
    <row r="4" spans="1:3" x14ac:dyDescent="0.25">
      <c r="A4" s="4">
        <v>0</v>
      </c>
      <c r="B4" s="4">
        <v>1</v>
      </c>
      <c r="C4" s="5">
        <v>0.02</v>
      </c>
    </row>
    <row r="5" spans="1:3" x14ac:dyDescent="0.25">
      <c r="A5" s="4">
        <v>2</v>
      </c>
      <c r="B5" s="4">
        <v>3</v>
      </c>
      <c r="C5" s="5">
        <v>0.04</v>
      </c>
    </row>
    <row r="6" spans="1:3" x14ac:dyDescent="0.25">
      <c r="A6" s="4">
        <v>4</v>
      </c>
      <c r="B6" s="4">
        <v>5</v>
      </c>
      <c r="C6" s="5">
        <v>0.06</v>
      </c>
    </row>
    <row r="7" spans="1:3" x14ac:dyDescent="0.25">
      <c r="A7" s="4">
        <v>6</v>
      </c>
      <c r="B7" s="4">
        <v>7</v>
      </c>
      <c r="C7" s="5">
        <v>0.08</v>
      </c>
    </row>
    <row r="8" spans="1:3" x14ac:dyDescent="0.25">
      <c r="A8" s="4">
        <v>8</v>
      </c>
      <c r="B8" s="4">
        <v>9</v>
      </c>
      <c r="C8" s="5">
        <v>0.1</v>
      </c>
    </row>
    <row r="9" spans="1:3" x14ac:dyDescent="0.25">
      <c r="A9" s="4">
        <v>10</v>
      </c>
      <c r="B9" s="4">
        <v>11</v>
      </c>
      <c r="C9" s="5">
        <v>0.12</v>
      </c>
    </row>
    <row r="10" spans="1:3" x14ac:dyDescent="0.25">
      <c r="A10" s="4">
        <v>12</v>
      </c>
      <c r="B10" s="4">
        <v>13</v>
      </c>
      <c r="C10" s="5">
        <v>0.14000000000000001</v>
      </c>
    </row>
    <row r="11" spans="1:3" x14ac:dyDescent="0.25">
      <c r="A11" s="4">
        <v>14</v>
      </c>
      <c r="B11" s="4" t="s">
        <v>25</v>
      </c>
      <c r="C11" s="5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9</vt:i4>
      </vt:variant>
    </vt:vector>
  </HeadingPairs>
  <TitlesOfParts>
    <vt:vector size="15" baseType="lpstr">
      <vt:lpstr>Folha de Pagamento</vt:lpstr>
      <vt:lpstr>CARGO FOLHA</vt:lpstr>
      <vt:lpstr>Funcionários</vt:lpstr>
      <vt:lpstr>Cargos</vt:lpstr>
      <vt:lpstr>INSS</vt:lpstr>
      <vt:lpstr>IRRF</vt:lpstr>
      <vt:lpstr>CARGOS</vt:lpstr>
      <vt:lpstr>FUNCIONARIOS</vt:lpstr>
      <vt:lpstr>FUNCIONARIOS2</vt:lpstr>
      <vt:lpstr>INSS</vt:lpstr>
      <vt:lpstr>INSSs</vt:lpstr>
      <vt:lpstr>IRRF</vt:lpstr>
      <vt:lpstr>SalariosBrutos</vt:lpstr>
      <vt:lpstr>SalariosLiquidos</vt:lpstr>
      <vt:lpstr>TABELACARGO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Aluno</cp:lastModifiedBy>
  <dcterms:created xsi:type="dcterms:W3CDTF">2010-05-23T02:29:10Z</dcterms:created>
  <dcterms:modified xsi:type="dcterms:W3CDTF">2021-10-02T19:21:57Z</dcterms:modified>
</cp:coreProperties>
</file>